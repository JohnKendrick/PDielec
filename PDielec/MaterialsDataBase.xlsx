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060" tabRatio="600" firstSheet="0" activeTab="1" autoFilterDateGrouping="1"/>
  </bookViews>
  <sheets>
    <sheet xmlns:r="http://schemas.openxmlformats.org/officeDocument/2006/relationships" name="Information" sheetId="1" state="visible" r:id="rId1"/>
    <sheet xmlns:r="http://schemas.openxmlformats.org/officeDocument/2006/relationships" name="Sapphire" sheetId="2" state="visible" r:id="rId2"/>
    <sheet xmlns:r="http://schemas.openxmlformats.org/officeDocument/2006/relationships" name="ptfe" sheetId="3" state="visible" r:id="rId3"/>
    <sheet xmlns:r="http://schemas.openxmlformats.org/officeDocument/2006/relationships" name="air" sheetId="4" state="visible" r:id="rId4"/>
    <sheet xmlns:r="http://schemas.openxmlformats.org/officeDocument/2006/relationships" name="vacuum" sheetId="5" state="visible" r:id="rId5"/>
    <sheet xmlns:r="http://schemas.openxmlformats.org/officeDocument/2006/relationships" name="ldpe" sheetId="6" state="visible" r:id="rId6"/>
    <sheet xmlns:r="http://schemas.openxmlformats.org/officeDocument/2006/relationships" name="mdpe" sheetId="7" state="visible" r:id="rId7"/>
    <sheet xmlns:r="http://schemas.openxmlformats.org/officeDocument/2006/relationships" name="kbr" sheetId="8" state="visible" r:id="rId8"/>
    <sheet xmlns:r="http://schemas.openxmlformats.org/officeDocument/2006/relationships" name="nujol" sheetId="9" state="visible" r:id="rId9"/>
    <sheet xmlns:r="http://schemas.openxmlformats.org/officeDocument/2006/relationships" name="Polypropylene" sheetId="10" state="visible" r:id="rId10"/>
    <sheet xmlns:r="http://schemas.openxmlformats.org/officeDocument/2006/relationships" name="Silicon" sheetId="11" state="visible" r:id="rId11"/>
    <sheet xmlns:r="http://schemas.openxmlformats.org/officeDocument/2006/relationships" name="Water(25C)" sheetId="12" state="visible" r:id="rId12"/>
    <sheet xmlns:r="http://schemas.openxmlformats.org/officeDocument/2006/relationships" name="Water(19C)" sheetId="13" state="visible" r:id="rId13"/>
    <sheet xmlns:r="http://schemas.openxmlformats.org/officeDocument/2006/relationships" name="Silver" sheetId="14" state="visible" r:id="rId14"/>
    <sheet xmlns:r="http://schemas.openxmlformats.org/officeDocument/2006/relationships" name="Fused Silica" sheetId="15" state="visible" r:id="rId15"/>
    <sheet xmlns:r="http://schemas.openxmlformats.org/officeDocument/2006/relationships" name="PVC" sheetId="16" state="visible" r:id="rId16"/>
    <sheet xmlns:r="http://schemas.openxmlformats.org/officeDocument/2006/relationships" name="CaF2" sheetId="17" state="visible" r:id="rId17"/>
  </sheets>
  <definedNames/>
  <calcPr calcId="191029" fullCalcOnLoad="1" iterate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"/>
    <numFmt numFmtId="166" formatCode="0.00000"/>
    <numFmt numFmtId="167" formatCode="0.000000000"/>
    <numFmt numFmtId="168" formatCode="0.00000000"/>
    <numFmt numFmtId="169" formatCode="0.000"/>
  </numFmts>
  <fonts count="6">
    <font>
      <name val="Sans"/>
      <color rgb="FF000000"/>
      <sz val="10"/>
    </font>
    <font>
      <name val="Calibri"/>
      <color rgb="FF000000"/>
      <sz val="10"/>
    </font>
    <font>
      <name val="Calibri"/>
      <color rgb="FF000000"/>
      <sz val="11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2" fontId="2" fillId="0" borderId="0" pivotButton="0" quotePrefix="0" xfId="0"/>
    <xf numFmtId="164" fontId="0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0" fontId="4" fillId="0" borderId="0" applyAlignment="1" pivotButton="0" quotePrefix="0" xfId="0">
      <alignment vertical="center"/>
    </xf>
    <xf numFmtId="0" fontId="5" fillId="0" borderId="0" pivotButton="0" quotePrefix="0" xfId="0"/>
    <xf numFmtId="167" fontId="0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168" fontId="4" fillId="0" borderId="0" pivotButton="0" quotePrefix="0" xfId="0"/>
    <xf numFmtId="169" fontId="3" fillId="0" borderId="0" pivotButton="0" quotePrefix="0" xfId="0"/>
    <xf numFmtId="168" fontId="5" fillId="0" borderId="0" pivotButton="0" quotePrefix="0" xfId="0"/>
    <xf numFmtId="169" fontId="5" fillId="0" borderId="0" pivotButton="0" quotePrefix="0" xfId="0"/>
    <xf numFmtId="165" fontId="5" fillId="0" borderId="0" pivotButton="0" quotePrefix="0" xfId="0"/>
    <xf numFmtId="165" fontId="2" fillId="0" borderId="0" pivotButton="0" quotePrefix="0" xfId="0"/>
    <xf numFmtId="164" fontId="2" fillId="0" borderId="0" pivotButton="0" quotePrefix="0" xfId="0"/>
    <xf numFmtId="169" fontId="5" fillId="0" borderId="0" pivotButton="0" quotePrefix="0" xfId="0"/>
    <xf numFmtId="165" fontId="5" fillId="0" borderId="0" pivotButton="0" quotePrefix="0" xfId="0"/>
    <xf numFmtId="168" fontId="5" fillId="0" borderId="0" pivotButton="0" quotePrefix="0" xfId="0"/>
    <xf numFmtId="168" fontId="4" fillId="0" borderId="0" pivotButton="0" quotePrefix="0" xfId="0"/>
    <xf numFmtId="169" fontId="3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B5" sqref="B5"/>
    </sheetView>
  </sheetViews>
  <sheetFormatPr baseColWidth="8" defaultColWidth="12.85546875" defaultRowHeight="12.75"/>
  <cols>
    <col width="28.7109375" customWidth="1" style="1" min="1" max="1"/>
    <col width="37.28515625" customWidth="1" style="1" min="2" max="2"/>
    <col width="13.28515625" bestFit="1" customWidth="1" style="1" min="3" max="3"/>
    <col width="255.7109375" bestFit="1" customWidth="1" style="1" min="4" max="4"/>
    <col width="12.85546875" customWidth="1" style="1" min="5" max="16384"/>
  </cols>
  <sheetData>
    <row r="1" ht="15" customHeight="1">
      <c r="A1" s="8" t="inlineStr">
        <is>
          <t>Information</t>
        </is>
      </c>
      <c r="B1" s="8" t="n"/>
      <c r="C1" s="8" t="n"/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15" customHeight="1">
      <c r="A2" s="8" t="n"/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</row>
    <row r="3" ht="15" customHeight="1">
      <c r="A3" s="8" t="inlineStr">
        <is>
          <t>This is a small database of refractive indices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</row>
    <row r="4" ht="15" customHeight="1">
      <c r="A4" s="8" t="inlineStr">
        <is>
          <t>Each sheet is a different material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 ht="15" customHeight="1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 ht="15" customHeight="1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 ht="15" customHeight="1">
      <c r="A7" s="8" t="inlineStr">
        <is>
          <t>The first six columns are used for data</t>
        </is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 ht="15" customHeight="1">
      <c r="A8" s="8" t="n"/>
      <c r="B8" s="8" t="inlineStr">
        <is>
          <t>Column A holds the frequencies in cm-1 in ascending order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 ht="15" customHeight="1">
      <c r="A9" s="8" t="n"/>
      <c r="B9" s="8" t="inlineStr">
        <is>
          <t>Column C holds the real permittivity or the real refractive index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 ht="15" customHeight="1">
      <c r="A10" s="8" t="n"/>
      <c r="B10" s="8" t="inlineStr">
        <is>
          <t>Column D holds the imaginary permittivity or the real refractive index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 ht="15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15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15" customHeight="1">
      <c r="A13" s="8" t="inlineStr">
        <is>
          <t>Column H has specific information regarding the data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15" customHeight="1">
      <c r="A14" s="8" t="n"/>
      <c r="B14" s="8" t="n"/>
      <c r="C14" s="8" t="inlineStr">
        <is>
          <t>G:</t>
        </is>
      </c>
      <c r="D14" s="8" t="inlineStr">
        <is>
          <t>H:</t>
        </is>
      </c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15" customHeight="1">
      <c r="A15" s="8" t="n"/>
      <c r="B15" s="8" t="n"/>
      <c r="C15" s="8" t="inlineStr">
        <is>
          <t>Entry:</t>
        </is>
      </c>
      <c r="D15" s="8" t="inlineStr">
        <is>
          <t>Tabulated refractive index</t>
        </is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15" customHeight="1">
      <c r="A16" s="8" t="n"/>
      <c r="B16" s="8" t="n"/>
      <c r="C16" s="8" t="inlineStr">
        <is>
          <t>Density:</t>
        </is>
      </c>
      <c r="D16" s="8" t="n">
        <v>1</v>
      </c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15" customHeight="1">
      <c r="A17" s="8" t="n"/>
      <c r="B17" s="8" t="n"/>
      <c r="C17" s="8" t="inlineStr">
        <is>
          <t>Temperature:</t>
        </is>
      </c>
      <c r="D17" s="8" t="n">
        <v>25</v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15" customHeight="1">
      <c r="A18" s="8" t="n"/>
      <c r="B18" s="8" t="n"/>
      <c r="C18" s="8" t="inlineStr">
        <is>
          <t>Low: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15" customHeight="1">
      <c r="A19" s="8" t="n"/>
      <c r="B19" s="8" t="n"/>
      <c r="C19" s="8" t="inlineStr">
        <is>
          <t>High: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 ht="15" customHeight="1">
      <c r="A20" s="8" t="n"/>
      <c r="B20" s="8" t="n"/>
      <c r="C20" s="8" t="inlineStr">
        <is>
          <t>NPoints:</t>
        </is>
      </c>
      <c r="D20" s="8">
        <f>COUNT(#REF!)</f>
        <v/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15" customHeight="1">
      <c r="A21" s="8" t="n"/>
      <c r="B21" s="8" t="n"/>
      <c r="C21" s="8" t="inlineStr">
        <is>
          <t>Reference:</t>
        </is>
      </c>
      <c r="D21" s="8" t="inlineStr">
        <is>
          <t>G. M. Hale and M. R. Querry. Optical constants of water in the 200-nm to 200-Âµm wavelength region, &lt;a href=\"https://doi.org/10.1364/AO.12.000555\"&gt;&lt;i&gt;Appl. Opt.&lt;/i&gt; &lt;b&gt;12&lt;/b&gt;, 555-563 (1973)&lt;/a&gt;&lt;br&gt;See also &lt;a href=\"https://refractiveindex.info/?shelf=main&amp;book=H2O&amp;page=Segelstein\"&gt;&lt;i&gt;Segelstein 1981&lt;/i&gt;&lt;/a&gt; for more recent data from the same group.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 ht="15" customHeight="1">
      <c r="A22" s="8" t="n"/>
      <c r="B22" s="8" t="n"/>
      <c r="C22" s="8" t="inlineStr">
        <is>
          <t>a_vector:</t>
        </is>
      </c>
      <c r="D22" s="8" t="inlineStr">
        <is>
          <t>A row vector of 3 floating point numbers specifying the a direction of the unit cell in (xyz)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15" customHeight="1">
      <c r="A23" s="8" t="n"/>
      <c r="B23" s="8" t="n"/>
      <c r="C23" s="8" t="inlineStr">
        <is>
          <t>b_vector:</t>
        </is>
      </c>
      <c r="D23" s="8" t="inlineStr">
        <is>
          <t>A row vector of 3 floating point numbers specifying the b direction of the unit cell in (xyz)</t>
        </is>
      </c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 ht="15" customHeight="1">
      <c r="A24" s="8" t="n"/>
      <c r="B24" s="8" t="n"/>
      <c r="C24" s="8" t="inlineStr">
        <is>
          <t>c_vector:</t>
        </is>
      </c>
      <c r="D24" s="8" t="inlineStr">
        <is>
          <t>A row vector of 3 floating point numbers specifying the c direction of the unit cell in (xyz)</t>
        </is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15" customHeight="1">
      <c r="A25" s="8" t="n"/>
      <c r="B25" s="8" t="n"/>
      <c r="C25" s="8" t="inlineStr">
        <is>
          <t>a:</t>
        </is>
      </c>
      <c r="D25" s="8" t="inlineStr">
        <is>
          <t>The length of the a direction of the cell</t>
        </is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 ht="15" customHeight="1">
      <c r="A26" s="8" t="n"/>
      <c r="B26" s="8" t="n"/>
      <c r="C26" s="8" t="inlineStr">
        <is>
          <t>b:</t>
        </is>
      </c>
      <c r="D26" s="8" t="inlineStr">
        <is>
          <t>The length of the b direction of the cell</t>
        </is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15" customHeight="1">
      <c r="A27" s="8" t="n"/>
      <c r="B27" s="8" t="n"/>
      <c r="C27" s="8" t="inlineStr">
        <is>
          <t>c:</t>
        </is>
      </c>
      <c r="D27" s="8" t="inlineStr">
        <is>
          <t>The length of the c direction of the cell</t>
        </is>
      </c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 ht="15" customHeight="1">
      <c r="A28" s="8" t="n"/>
      <c r="B28" s="8" t="n"/>
      <c r="C28" s="8" t="inlineStr">
        <is>
          <t>alpha:</t>
        </is>
      </c>
      <c r="D28" s="8" t="inlineStr">
        <is>
          <t>Cell angle alpha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15" customHeight="1">
      <c r="A29" s="8" t="n"/>
      <c r="B29" s="8" t="n"/>
      <c r="C29" s="8" t="inlineStr">
        <is>
          <t>beta:</t>
        </is>
      </c>
      <c r="D29" s="8" t="inlineStr">
        <is>
          <t>Cell angle beta</t>
        </is>
      </c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 ht="15" customHeight="1">
      <c r="A30" s="8" t="n"/>
      <c r="B30" s="8" t="n"/>
      <c r="C30" s="8" t="inlineStr">
        <is>
          <t>gamma:</t>
        </is>
      </c>
      <c r="D30" s="8" t="inlineStr">
        <is>
          <t>Cell angle gamma</t>
        </is>
      </c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15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 ht="15" customHeight="1">
      <c r="A32" s="8" t="inlineStr">
        <is>
          <t>The Entry: row is required and can contain;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15" customHeight="1">
      <c r="A33" s="8" t="n"/>
      <c r="B33" s="8" t="inlineStr">
        <is>
          <t>Tabulated refractive index</t>
        </is>
      </c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 ht="15" customHeight="1">
      <c r="A34" s="8" t="n"/>
      <c r="B34" s="8" t="inlineStr">
        <is>
          <t>Tabulated permittivity</t>
        </is>
      </c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15" customHeight="1">
      <c r="A35" s="8" t="n"/>
      <c r="B35" s="8" t="inlineStr">
        <is>
          <t>Constant refractive index</t>
        </is>
      </c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 ht="15" customHeight="1">
      <c r="A36" s="8" t="n"/>
      <c r="B36" s="8" t="inlineStr">
        <is>
          <t>Constant permittivity</t>
        </is>
      </c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15" customHeight="1">
      <c r="A37" s="8" t="n"/>
      <c r="B37" s="8" t="inlineStr">
        <is>
          <t>Drude-Lorentz</t>
        </is>
      </c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 ht="15" customHeight="1">
      <c r="A38" s="8" t="n"/>
      <c r="B38" s="8" t="inlineStr">
        <is>
          <t>FPSQ</t>
        </is>
      </c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15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</row>
    <row r="40" ht="15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</row>
    <row r="41" ht="15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</row>
    <row r="42" ht="15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</row>
    <row r="43" ht="15" customHeight="1">
      <c r="A43" s="8" t="inlineStr">
        <is>
          <t>Density: row is required and contains the density in g/ml</t>
        </is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</row>
    <row r="44" ht="15" customHeight="1">
      <c r="A44" s="8" t="n"/>
      <c r="B44" s="8" t="n"/>
      <c r="C44" s="8" t="n"/>
      <c r="D44" s="8" t="n"/>
      <c r="E44" s="8" t="n"/>
      <c r="F44" s="8" t="n"/>
      <c r="G44" s="8" t="n"/>
    </row>
    <row r="45" ht="15" customHeight="1">
      <c r="A45" s="8" t="n"/>
      <c r="B45" s="8" t="n"/>
      <c r="C45" s="8" t="n"/>
      <c r="D45" s="8" t="n"/>
      <c r="E45" s="8" t="n"/>
      <c r="F45" s="8" t="n"/>
      <c r="G45" s="8" t="n"/>
    </row>
    <row r="46" ht="15" customHeight="1">
      <c r="A46" s="8" t="n"/>
      <c r="B46" s="8" t="n"/>
      <c r="C46" s="8" t="n"/>
      <c r="D46" s="8" t="n"/>
      <c r="E46" s="8" t="n"/>
      <c r="F46" s="8" t="n"/>
      <c r="G46" s="8" t="n"/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tabSelected="1" workbookViewId="0">
      <selection activeCell="C4" sqref="C4"/>
    </sheetView>
  </sheetViews>
  <sheetFormatPr baseColWidth="8" defaultRowHeight="12.75"/>
  <cols>
    <col width="14.28515625" customWidth="1" min="1" max="1"/>
    <col width="11.28515625" customWidth="1" min="2" max="2"/>
    <col width="21.7109375" customWidth="1" min="3" max="3"/>
    <col width="16.42578125" customWidth="1" min="4" max="4"/>
    <col width="17.140625" customWidth="1" min="5" max="5"/>
    <col width="17.28515625" customWidth="1" min="6" max="6"/>
    <col width="14.85546875" customWidth="1" min="7" max="7"/>
    <col width="18" customWidth="1" min="8" max="8"/>
  </cols>
  <sheetData>
    <row r="1" ht="15" customHeight="1">
      <c r="A1" s="2" t="inlineStr">
        <is>
          <t>Direction</t>
        </is>
      </c>
      <c r="B1" s="2" t="inlineStr">
        <is>
          <t>Eps_inf</t>
        </is>
      </c>
      <c r="C1" s="2" t="inlineStr">
        <is>
          <t>Omega TO</t>
        </is>
      </c>
      <c r="D1" s="2" t="inlineStr">
        <is>
          <t>Gamma TO</t>
        </is>
      </c>
      <c r="E1" s="2" t="inlineStr">
        <is>
          <t>Omega LO</t>
        </is>
      </c>
      <c r="F1" s="2" t="inlineStr">
        <is>
          <t>Gamma LO</t>
        </is>
      </c>
      <c r="G1" s="2" t="inlineStr">
        <is>
          <t>Entry:</t>
        </is>
      </c>
      <c r="H1" s="2" t="inlineStr">
        <is>
          <t>FPSQ</t>
        </is>
      </c>
      <c r="I1" s="2" t="n"/>
      <c r="J1" s="2" t="n"/>
      <c r="K1" s="2" t="n"/>
      <c r="L1" s="2" t="n"/>
      <c r="M1" s="2" t="n"/>
      <c r="N1" s="2" t="n"/>
      <c r="O1" s="2" t="n"/>
      <c r="P1" s="2" t="n"/>
    </row>
    <row r="2" ht="15" customHeight="1">
      <c r="A2" s="2" t="inlineStr">
        <is>
          <t>xx</t>
        </is>
      </c>
      <c r="B2" s="2" t="n">
        <v>3.05</v>
      </c>
      <c r="C2" s="20" t="n">
        <v>384</v>
      </c>
      <c r="D2" s="20" t="n">
        <v>3.9</v>
      </c>
      <c r="E2" s="3" t="n">
        <v>387.2</v>
      </c>
      <c r="F2" s="20" t="n">
        <v>4</v>
      </c>
      <c r="G2" s="2" t="inlineStr">
        <is>
          <t>Density:</t>
        </is>
      </c>
      <c r="H2" s="21" t="n">
        <v>3.98</v>
      </c>
      <c r="I2" s="2" t="n"/>
      <c r="J2" s="2" t="n"/>
      <c r="K2" s="2" t="n"/>
      <c r="L2" s="2" t="n"/>
      <c r="M2" s="2" t="n"/>
      <c r="N2" s="2" t="n"/>
      <c r="O2" s="2" t="n"/>
      <c r="P2" s="2" t="n"/>
    </row>
    <row r="3" ht="15" customHeight="1">
      <c r="A3" s="2" t="n"/>
      <c r="B3" s="2" t="n"/>
      <c r="C3" s="20" t="n">
        <v>438.5</v>
      </c>
      <c r="D3" s="20" t="n">
        <v>3.5</v>
      </c>
      <c r="E3" s="3" t="n">
        <v>481.5</v>
      </c>
      <c r="F3" s="20" t="n">
        <v>3.7</v>
      </c>
      <c r="G3" s="2" t="inlineStr">
        <is>
          <t>a:</t>
        </is>
      </c>
      <c r="H3" s="21" t="n">
        <v>4.7605</v>
      </c>
      <c r="I3" s="2" t="n"/>
      <c r="J3" s="2" t="inlineStr">
        <is>
          <t>Cell information taken from Lutterotti and Scardi</t>
        </is>
      </c>
      <c r="K3" s="2" t="n"/>
      <c r="L3" s="2" t="n"/>
      <c r="M3" s="2" t="n"/>
      <c r="N3" s="2" t="n"/>
      <c r="O3" s="2" t="n"/>
      <c r="P3" s="2" t="n"/>
    </row>
    <row r="4" ht="15" customHeight="1">
      <c r="A4" s="2" t="n"/>
      <c r="B4" s="2" t="n"/>
      <c r="C4" s="20" t="n">
        <v>568.5</v>
      </c>
      <c r="D4" s="20" t="n">
        <v>4.2</v>
      </c>
      <c r="E4" s="3" t="n">
        <v>629.1</v>
      </c>
      <c r="F4" s="20" t="n">
        <v>7</v>
      </c>
      <c r="G4" s="2" t="inlineStr">
        <is>
          <t>b:</t>
        </is>
      </c>
      <c r="H4" s="21" t="n">
        <v>4.7605</v>
      </c>
      <c r="I4" s="2" t="n"/>
      <c r="J4" s="2" t="inlineStr">
        <is>
          <t>Journal of Applied Crystallography 1990, 23, 246-252</t>
        </is>
      </c>
      <c r="K4" s="2" t="n"/>
      <c r="L4" s="2" t="n"/>
      <c r="M4" s="2" t="n"/>
      <c r="N4" s="2" t="n"/>
      <c r="O4" s="2" t="n"/>
      <c r="P4" s="2" t="n"/>
    </row>
    <row r="5" ht="15" customHeight="1">
      <c r="A5" s="2" t="n"/>
      <c r="B5" s="2" t="n"/>
      <c r="C5" s="20" t="n">
        <v>634</v>
      </c>
      <c r="D5" s="20" t="n">
        <v>6.8</v>
      </c>
      <c r="E5" s="3" t="n">
        <v>907.5</v>
      </c>
      <c r="F5" s="20" t="n">
        <v>17.8</v>
      </c>
      <c r="G5" s="2" t="inlineStr">
        <is>
          <t>c:</t>
        </is>
      </c>
      <c r="H5" s="21" t="n">
        <v>12.9956</v>
      </c>
      <c r="I5" s="2" t="n"/>
      <c r="J5" s="2" t="n"/>
      <c r="K5" s="2" t="n"/>
      <c r="L5" s="2" t="n"/>
      <c r="M5" s="2" t="n"/>
      <c r="N5" s="2" t="n"/>
      <c r="O5" s="2" t="n"/>
      <c r="P5" s="2" t="n"/>
    </row>
    <row r="6" ht="15" customHeight="1">
      <c r="A6" s="2" t="inlineStr">
        <is>
          <t>yy</t>
        </is>
      </c>
      <c r="B6" s="2" t="n">
        <v>3.05</v>
      </c>
      <c r="C6" s="20" t="n">
        <v>384</v>
      </c>
      <c r="D6" s="20" t="n">
        <v>3.9</v>
      </c>
      <c r="E6" s="3" t="n">
        <v>387.2</v>
      </c>
      <c r="F6" s="20" t="n">
        <v>4</v>
      </c>
      <c r="G6" s="2" t="inlineStr">
        <is>
          <t>alpha:</t>
        </is>
      </c>
      <c r="H6" s="2" t="n">
        <v>90</v>
      </c>
      <c r="I6" s="2" t="n"/>
      <c r="J6" s="2" t="n"/>
      <c r="K6" s="2" t="n"/>
      <c r="L6" s="2" t="n"/>
      <c r="M6" s="2" t="n"/>
      <c r="N6" s="2" t="n"/>
      <c r="O6" s="2" t="n"/>
      <c r="P6" s="2" t="n"/>
    </row>
    <row r="7" ht="15" customHeight="1">
      <c r="A7" s="2" t="n"/>
      <c r="B7" s="2" t="n"/>
      <c r="C7" s="20" t="n">
        <v>438.5</v>
      </c>
      <c r="D7" s="20" t="n">
        <v>3.5</v>
      </c>
      <c r="E7" s="3" t="n">
        <v>481.5</v>
      </c>
      <c r="F7" s="20" t="n">
        <v>3.7</v>
      </c>
      <c r="G7" s="2" t="inlineStr">
        <is>
          <t>beta:</t>
        </is>
      </c>
      <c r="H7" s="2" t="n">
        <v>90</v>
      </c>
      <c r="I7" s="2" t="n"/>
      <c r="J7" s="2" t="n"/>
      <c r="K7" s="2" t="n"/>
      <c r="L7" s="2" t="n"/>
      <c r="M7" s="2" t="n"/>
      <c r="N7" s="2" t="n"/>
      <c r="O7" s="2" t="n"/>
      <c r="P7" s="2" t="n"/>
    </row>
    <row r="8" ht="15" customHeight="1">
      <c r="A8" s="2" t="n"/>
      <c r="B8" s="2" t="n"/>
      <c r="C8" s="20" t="n">
        <v>568.5</v>
      </c>
      <c r="D8" s="20" t="n">
        <v>4.2</v>
      </c>
      <c r="E8" s="3" t="n">
        <v>629.1</v>
      </c>
      <c r="F8" s="20" t="n">
        <v>7</v>
      </c>
      <c r="G8" s="2" t="inlineStr">
        <is>
          <t>gamma:</t>
        </is>
      </c>
      <c r="H8" s="2" t="n">
        <v>120</v>
      </c>
      <c r="I8" s="2" t="n"/>
      <c r="J8" s="2" t="n"/>
      <c r="K8" s="2" t="n"/>
      <c r="L8" s="2" t="n"/>
      <c r="M8" s="2" t="n"/>
      <c r="N8" s="2" t="n"/>
      <c r="O8" s="2" t="n"/>
      <c r="P8" s="2" t="n"/>
    </row>
    <row r="9" ht="15" customHeight="1">
      <c r="A9" s="2" t="n"/>
      <c r="B9" s="2" t="n"/>
      <c r="C9" s="20" t="n">
        <v>634</v>
      </c>
      <c r="D9" s="20" t="n">
        <v>6.8</v>
      </c>
      <c r="E9" s="3" t="n">
        <v>907.5</v>
      </c>
      <c r="F9" s="20" t="n">
        <v>17.8</v>
      </c>
      <c r="G9" s="2" t="inlineStr">
        <is>
          <t>Temperature:</t>
        </is>
      </c>
      <c r="H9" s="2" t="inlineStr">
        <is>
          <t>Room Temperature</t>
        </is>
      </c>
      <c r="I9" s="2" t="n"/>
      <c r="J9" s="2" t="n"/>
      <c r="K9" s="2" t="n"/>
      <c r="L9" s="2" t="n"/>
      <c r="M9" s="2" t="n"/>
      <c r="N9" s="2" t="n"/>
      <c r="O9" s="2" t="n"/>
      <c r="P9" s="2" t="n"/>
    </row>
    <row r="10" ht="15" customHeight="1">
      <c r="A10" s="2" t="inlineStr">
        <is>
          <t>zz</t>
        </is>
      </c>
      <c r="B10" s="2" t="n">
        <v>3.01</v>
      </c>
      <c r="C10" s="20" t="n">
        <v>396</v>
      </c>
      <c r="D10" s="20" t="n">
        <v>1</v>
      </c>
      <c r="E10" s="3" t="n">
        <v>510.87</v>
      </c>
      <c r="F10" s="20" t="n">
        <v>1.1</v>
      </c>
      <c r="G10" s="2" t="inlineStr">
        <is>
          <t>Low:</t>
        </is>
      </c>
      <c r="H10" s="2" t="n">
        <v>0</v>
      </c>
      <c r="I10" s="2" t="n"/>
      <c r="J10" s="2" t="n"/>
      <c r="K10" s="2" t="n"/>
      <c r="L10" s="2" t="n"/>
      <c r="M10" s="2" t="n"/>
      <c r="N10" s="2" t="n"/>
      <c r="O10" s="2" t="n"/>
      <c r="P10" s="2" t="n"/>
    </row>
    <row r="11" ht="15" customHeight="1">
      <c r="A11" s="2" t="n"/>
      <c r="B11" s="2" t="n"/>
      <c r="C11" s="20" t="n">
        <v>582</v>
      </c>
      <c r="D11" s="20" t="n">
        <v>3</v>
      </c>
      <c r="E11" s="3" t="n">
        <v>881.1</v>
      </c>
      <c r="F11" s="20" t="n">
        <v>15.4</v>
      </c>
      <c r="G11" s="2" t="inlineStr">
        <is>
          <t>High:</t>
        </is>
      </c>
      <c r="H11" s="2" t="n">
        <v>0</v>
      </c>
      <c r="I11" s="2" t="n"/>
      <c r="J11" s="2" t="n"/>
      <c r="K11" s="2" t="n"/>
      <c r="L11" s="2" t="n"/>
      <c r="M11" s="2" t="n"/>
      <c r="N11" s="2" t="n"/>
      <c r="O11" s="2" t="n"/>
      <c r="P11" s="2" t="n"/>
    </row>
    <row r="12" ht="15" customHeight="1">
      <c r="A12" s="2" t="n"/>
      <c r="B12" s="2" t="n"/>
      <c r="C12" s="2" t="n"/>
      <c r="D12" s="2" t="n"/>
      <c r="E12" s="2" t="n"/>
      <c r="F12" s="2" t="n"/>
      <c r="G12" s="2" t="inlineStr">
        <is>
          <t>NPoints:</t>
        </is>
      </c>
      <c r="H12" s="2" t="n">
        <v>0</v>
      </c>
      <c r="I12" s="2" t="n"/>
      <c r="J12" s="2" t="n"/>
      <c r="K12" s="2" t="n"/>
      <c r="L12" s="2" t="n"/>
      <c r="M12" s="2" t="n"/>
      <c r="N12" s="2" t="n"/>
      <c r="O12" s="2" t="n"/>
      <c r="P12" s="2" t="n"/>
    </row>
    <row r="13" ht="15" customHeight="1">
      <c r="A13" s="2" t="n"/>
      <c r="B13" s="2" t="n"/>
      <c r="C13" s="2" t="n"/>
      <c r="D13" s="2" t="n"/>
      <c r="E13" s="2" t="n"/>
      <c r="F13" s="2" t="n"/>
      <c r="G13" s="2" t="inlineStr">
        <is>
          <t>Reference:</t>
        </is>
      </c>
      <c r="H13" s="2" t="inlineStr">
        <is>
          <t>S.C. Lee, S.S. Ng, H. Abu Hassan, Z. Hassan, T. Dumelow</t>
        </is>
      </c>
      <c r="I13" s="2" t="n"/>
      <c r="J13" s="2" t="n"/>
      <c r="K13" s="2" t="n"/>
      <c r="L13" s="2" t="n"/>
      <c r="M13" s="2" t="n"/>
      <c r="N13" s="2" t="n"/>
      <c r="O13" s="2" t="n"/>
      <c r="P13" s="2" t="n"/>
    </row>
    <row r="14" ht="15" customHeight="1">
      <c r="A14" s="2" t="n"/>
      <c r="B14" s="2" t="n"/>
      <c r="C14" s="2" t="n"/>
      <c r="D14" s="2" t="n"/>
      <c r="E14" s="2" t="n"/>
      <c r="F14" s="2" t="n"/>
      <c r="G14" s="2" t="n"/>
      <c r="H14" s="2" t="inlineStr">
        <is>
          <t>Crystal orientation dependence of polarized infrared reflectance response of hexagonal sapphire crystal</t>
        </is>
      </c>
      <c r="I14" s="2" t="n"/>
      <c r="J14" s="2" t="n"/>
      <c r="K14" s="2" t="n"/>
      <c r="L14" s="2" t="n"/>
      <c r="M14" s="2" t="n"/>
      <c r="N14" s="2" t="n"/>
      <c r="O14" s="2" t="n"/>
      <c r="P14" s="2" t="n"/>
    </row>
    <row r="15" ht="12.75" customHeight="1">
      <c r="A15" s="2" t="n"/>
      <c r="B15" s="2" t="n"/>
      <c r="C15" s="2" t="n"/>
      <c r="D15" s="2" t="n"/>
      <c r="E15" s="2" t="n"/>
      <c r="F15" s="2" t="n"/>
      <c r="G15" s="2" t="n"/>
      <c r="H15" s="2" t="inlineStr">
        <is>
          <t>Optical Materials (2014) vol 37, 773-779</t>
        </is>
      </c>
      <c r="I15" s="2" t="n"/>
      <c r="J15" s="2" t="n"/>
      <c r="K15" s="2" t="n"/>
      <c r="L15" s="2" t="n"/>
      <c r="M15" s="2" t="n"/>
      <c r="N15" s="2" t="n"/>
      <c r="O15" s="2" t="n"/>
      <c r="P15" s="2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H7"/>
  <sheetViews>
    <sheetView workbookViewId="0">
      <selection activeCell="B1" sqref="B1"/>
    </sheetView>
  </sheetViews>
  <sheetFormatPr baseColWidth="8" defaultColWidth="2.42578125" defaultRowHeight="15"/>
  <cols>
    <col width="5.140625" bestFit="1" customWidth="1" style="2" min="1" max="1"/>
    <col width="7.5703125" bestFit="1" customWidth="1" style="2" min="2" max="2"/>
    <col width="8" bestFit="1" customWidth="1" style="2" min="3" max="3"/>
    <col width="9" bestFit="1" customWidth="1" style="2" min="4" max="4"/>
    <col width="2.42578125" customWidth="1" style="2" min="5" max="6"/>
    <col width="11.85546875" bestFit="1" customWidth="1" style="2" min="7" max="7"/>
    <col width="18.140625" bestFit="1" customWidth="1" style="2" min="8" max="8"/>
    <col width="2.42578125" customWidth="1" style="2" min="9" max="16384"/>
  </cols>
  <sheetData>
    <row r="1">
      <c r="C1" s="2" t="inlineStr">
        <is>
          <t>eps_real</t>
        </is>
      </c>
      <c r="D1" s="2" t="inlineStr">
        <is>
          <t>eps_imag</t>
        </is>
      </c>
      <c r="G1" s="2" t="inlineStr">
        <is>
          <t>Entry:</t>
        </is>
      </c>
      <c r="H1" s="2" t="inlineStr">
        <is>
          <t>Constant permittivity</t>
        </is>
      </c>
    </row>
    <row r="2">
      <c r="C2" s="2" t="n">
        <v>2</v>
      </c>
      <c r="D2" s="2" t="n">
        <v>0</v>
      </c>
      <c r="G2" s="2" t="inlineStr">
        <is>
          <t>Density:</t>
        </is>
      </c>
      <c r="H2" s="2" t="n">
        <v>2.2</v>
      </c>
    </row>
    <row r="3">
      <c r="G3" s="2" t="inlineStr">
        <is>
          <t>Temperature:</t>
        </is>
      </c>
      <c r="H3" s="2" t="inlineStr">
        <is>
          <t>Unkown</t>
        </is>
      </c>
    </row>
    <row r="4">
      <c r="G4" s="2" t="inlineStr">
        <is>
          <t>Low:</t>
        </is>
      </c>
      <c r="H4" s="2">
        <f>MIN(A2:A618)</f>
        <v/>
      </c>
    </row>
    <row r="5">
      <c r="G5" s="2" t="inlineStr">
        <is>
          <t>High:</t>
        </is>
      </c>
      <c r="H5" s="2">
        <f>MAX(A2:A618)</f>
        <v/>
      </c>
    </row>
    <row r="6">
      <c r="G6" s="2" t="inlineStr">
        <is>
          <t>NPoints:</t>
        </is>
      </c>
      <c r="H6" s="2">
        <f>COUNT(A2:A618)</f>
        <v/>
      </c>
    </row>
    <row r="7">
      <c r="G7" s="2" t="inlineStr">
        <is>
          <t>Reference:</t>
        </is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1:H7"/>
  <sheetViews>
    <sheetView workbookViewId="0">
      <selection activeCell="B1" sqref="B1"/>
    </sheetView>
  </sheetViews>
  <sheetFormatPr baseColWidth="8" defaultColWidth="2.42578125" defaultRowHeight="15"/>
  <cols>
    <col width="5.28515625" bestFit="1" customWidth="1" style="2" min="1" max="1"/>
    <col width="8" bestFit="1" customWidth="1" style="2" min="2" max="2"/>
    <col width="8.5703125" bestFit="1" customWidth="1" style="2" min="3" max="3"/>
    <col width="9.42578125" bestFit="1" customWidth="1" style="2" min="4" max="4"/>
    <col width="2.42578125" customWidth="1" style="2" min="5" max="6"/>
    <col width="13.28515625" bestFit="1" customWidth="1" style="2" min="7" max="7"/>
    <col width="20.140625" bestFit="1" customWidth="1" style="2" min="8" max="8"/>
    <col width="2.42578125" customWidth="1" style="2" min="9" max="16384"/>
  </cols>
  <sheetData>
    <row r="1">
      <c r="C1" s="2" t="inlineStr">
        <is>
          <t>eps_real</t>
        </is>
      </c>
      <c r="D1" s="2" t="inlineStr">
        <is>
          <t>eps_imag</t>
        </is>
      </c>
      <c r="G1" s="2" t="inlineStr">
        <is>
          <t>Entry:</t>
        </is>
      </c>
      <c r="H1" s="2" t="inlineStr">
        <is>
          <t>Constant permittivity</t>
        </is>
      </c>
    </row>
    <row r="2">
      <c r="C2" s="2" t="n">
        <v>1</v>
      </c>
      <c r="D2" s="2" t="n">
        <v>0</v>
      </c>
      <c r="G2" s="2" t="inlineStr">
        <is>
          <t>Density:</t>
        </is>
      </c>
      <c r="H2" s="2" t="n">
        <v>0.001225</v>
      </c>
    </row>
    <row r="3">
      <c r="G3" s="2" t="inlineStr">
        <is>
          <t>Temperature:</t>
        </is>
      </c>
      <c r="H3" s="2" t="inlineStr">
        <is>
          <t>Unkown</t>
        </is>
      </c>
    </row>
    <row r="4">
      <c r="G4" s="2" t="inlineStr">
        <is>
          <t>Low:</t>
        </is>
      </c>
      <c r="H4" s="2">
        <f>MIN(A2:A618)</f>
        <v/>
      </c>
    </row>
    <row r="5">
      <c r="G5" s="2" t="inlineStr">
        <is>
          <t>High:</t>
        </is>
      </c>
      <c r="H5" s="2">
        <f>MAX(A2:A618)</f>
        <v/>
      </c>
    </row>
    <row r="6">
      <c r="G6" s="2" t="inlineStr">
        <is>
          <t>NPoints:</t>
        </is>
      </c>
      <c r="H6" s="2">
        <f>COUNT(A2:A618)</f>
        <v/>
      </c>
    </row>
    <row r="7">
      <c r="G7" s="2" t="inlineStr">
        <is>
          <t>Reference:</t>
        </is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1:H7"/>
  <sheetViews>
    <sheetView workbookViewId="0">
      <selection activeCell="B1" sqref="B1"/>
    </sheetView>
  </sheetViews>
  <sheetFormatPr baseColWidth="8" defaultColWidth="2.42578125" defaultRowHeight="15"/>
  <cols>
    <col width="5.28515625" bestFit="1" customWidth="1" style="13" min="1" max="1"/>
    <col width="8" bestFit="1" customWidth="1" style="13" min="2" max="2"/>
    <col width="8.5703125" bestFit="1" customWidth="1" style="13" min="3" max="3"/>
    <col width="9.42578125" bestFit="1" customWidth="1" style="13" min="4" max="4"/>
    <col width="2.42578125" customWidth="1" style="13" min="5" max="6"/>
    <col width="13.28515625" bestFit="1" customWidth="1" style="13" min="7" max="7"/>
    <col width="20.140625" bestFit="1" customWidth="1" style="13" min="8" max="8"/>
    <col width="2.42578125" customWidth="1" style="13" min="9" max="16384"/>
  </cols>
  <sheetData>
    <row r="1" customFormat="1" s="13">
      <c r="C1" s="13" t="inlineStr">
        <is>
          <t>eps_real</t>
        </is>
      </c>
      <c r="D1" s="13" t="inlineStr">
        <is>
          <t>eps_imag</t>
        </is>
      </c>
      <c r="G1" s="13" t="inlineStr">
        <is>
          <t>Entry:</t>
        </is>
      </c>
      <c r="H1" s="13" t="inlineStr">
        <is>
          <t>Constant permittivity</t>
        </is>
      </c>
    </row>
    <row r="2" customFormat="1" s="13">
      <c r="C2" s="13" t="n">
        <v>1</v>
      </c>
      <c r="D2" s="13" t="n">
        <v>0</v>
      </c>
      <c r="G2" s="13" t="inlineStr">
        <is>
          <t>Density:</t>
        </is>
      </c>
      <c r="H2" s="13" t="n">
        <v>0</v>
      </c>
    </row>
    <row r="3" customFormat="1" s="13">
      <c r="G3" s="13" t="inlineStr">
        <is>
          <t>Temperature:</t>
        </is>
      </c>
      <c r="H3" s="13" t="inlineStr">
        <is>
          <t>Unkown</t>
        </is>
      </c>
    </row>
    <row r="4" customFormat="1" s="13">
      <c r="G4" s="13" t="inlineStr">
        <is>
          <t>Low:</t>
        </is>
      </c>
      <c r="H4" s="13">
        <f>MIN(A2:A618)</f>
        <v/>
      </c>
    </row>
    <row r="5" customFormat="1" s="13">
      <c r="G5" s="13" t="inlineStr">
        <is>
          <t>High:</t>
        </is>
      </c>
      <c r="H5" s="13">
        <f>MAX(A2:A618)</f>
        <v/>
      </c>
    </row>
    <row r="6" customFormat="1" s="13">
      <c r="G6" s="13" t="inlineStr">
        <is>
          <t>NPoints:</t>
        </is>
      </c>
      <c r="H6" s="13">
        <f>COUNT(A2:A618)</f>
        <v/>
      </c>
    </row>
    <row r="7" customFormat="1" s="13">
      <c r="G7" s="13" t="inlineStr">
        <is>
          <t>Reference:</t>
        </is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C1:H7"/>
  <sheetViews>
    <sheetView workbookViewId="0">
      <selection activeCell="B1" sqref="B1"/>
    </sheetView>
  </sheetViews>
  <sheetFormatPr baseColWidth="8" defaultColWidth="2.42578125" defaultRowHeight="15"/>
  <cols>
    <col width="5.28515625" bestFit="1" customWidth="1" style="13" min="1" max="1"/>
    <col width="8" bestFit="1" customWidth="1" style="13" min="2" max="2"/>
    <col width="8.5703125" bestFit="1" customWidth="1" style="13" min="3" max="3"/>
    <col width="9.42578125" bestFit="1" customWidth="1" style="13" min="4" max="4"/>
    <col width="2.42578125" customWidth="1" style="13" min="5" max="6"/>
    <col width="13.28515625" bestFit="1" customWidth="1" style="13" min="7" max="7"/>
    <col width="20.140625" bestFit="1" customWidth="1" style="13" min="8" max="8"/>
    <col width="2.42578125" customWidth="1" style="13" min="9" max="16384"/>
  </cols>
  <sheetData>
    <row r="1" customFormat="1" s="13">
      <c r="C1" s="13" t="inlineStr">
        <is>
          <t>eps_real</t>
        </is>
      </c>
      <c r="D1" s="13" t="inlineStr">
        <is>
          <t>eps_imag</t>
        </is>
      </c>
      <c r="G1" s="13" t="inlineStr">
        <is>
          <t>Entry:</t>
        </is>
      </c>
      <c r="H1" s="13" t="inlineStr">
        <is>
          <t>Constant permittivity</t>
        </is>
      </c>
    </row>
    <row r="2" customFormat="1" s="13">
      <c r="C2" s="13" t="n">
        <v>2.25</v>
      </c>
      <c r="D2" s="13" t="n">
        <v>0</v>
      </c>
      <c r="G2" s="13" t="inlineStr">
        <is>
          <t>Density:</t>
        </is>
      </c>
      <c r="H2" s="13" t="n">
        <v>0.925</v>
      </c>
    </row>
    <row r="3" customFormat="1" s="13">
      <c r="G3" s="13" t="inlineStr">
        <is>
          <t>Temperature:</t>
        </is>
      </c>
      <c r="H3" s="13" t="inlineStr">
        <is>
          <t>Unkown</t>
        </is>
      </c>
    </row>
    <row r="4" customFormat="1" s="13">
      <c r="G4" s="13" t="inlineStr">
        <is>
          <t>Low:</t>
        </is>
      </c>
      <c r="H4" s="13">
        <f>MIN(A2:A618)</f>
        <v/>
      </c>
    </row>
    <row r="5" customFormat="1" s="13">
      <c r="G5" s="13" t="inlineStr">
        <is>
          <t>High:</t>
        </is>
      </c>
      <c r="H5" s="13">
        <f>MAX(A2:A618)</f>
        <v/>
      </c>
    </row>
    <row r="6" customFormat="1" s="13">
      <c r="G6" s="13" t="inlineStr">
        <is>
          <t>NPoints:</t>
        </is>
      </c>
      <c r="H6" s="13">
        <f>COUNT(A2:A618)</f>
        <v/>
      </c>
    </row>
    <row r="7" customFormat="1" s="13">
      <c r="G7" s="13" t="inlineStr">
        <is>
          <t>Reference:</t>
        </is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C1:H7"/>
  <sheetViews>
    <sheetView workbookViewId="0">
      <selection activeCell="B1" sqref="B1"/>
    </sheetView>
  </sheetViews>
  <sheetFormatPr baseColWidth="8" defaultColWidth="2.42578125" defaultRowHeight="15"/>
  <cols>
    <col width="5.28515625" bestFit="1" customWidth="1" style="13" min="1" max="1"/>
    <col width="8" bestFit="1" customWidth="1" style="13" min="2" max="2"/>
    <col width="8.5703125" bestFit="1" customWidth="1" style="13" min="3" max="3"/>
    <col width="9.42578125" bestFit="1" customWidth="1" style="13" min="4" max="4"/>
    <col width="2.42578125" customWidth="1" style="13" min="5" max="6"/>
    <col width="13.28515625" bestFit="1" customWidth="1" style="13" min="7" max="7"/>
    <col width="20.140625" bestFit="1" customWidth="1" style="13" min="8" max="8"/>
    <col width="2.42578125" customWidth="1" style="13" min="9" max="16384"/>
  </cols>
  <sheetData>
    <row r="1" customFormat="1" s="13">
      <c r="C1" s="13" t="inlineStr">
        <is>
          <t>eps_real</t>
        </is>
      </c>
      <c r="D1" s="13" t="inlineStr">
        <is>
          <t>eps_imag</t>
        </is>
      </c>
      <c r="G1" s="13" t="inlineStr">
        <is>
          <t>Entry:</t>
        </is>
      </c>
      <c r="H1" s="13" t="inlineStr">
        <is>
          <t>Constant permittivity</t>
        </is>
      </c>
    </row>
    <row r="2" customFormat="1" s="13">
      <c r="C2" s="13" t="n">
        <v>2.25</v>
      </c>
      <c r="D2" s="13" t="n">
        <v>0</v>
      </c>
      <c r="G2" s="13" t="inlineStr">
        <is>
          <t>Density:</t>
        </is>
      </c>
      <c r="H2" s="13" t="n">
        <v>0.9330000000000001</v>
      </c>
    </row>
    <row r="3" customFormat="1" s="13">
      <c r="G3" s="13" t="inlineStr">
        <is>
          <t>Temperature:</t>
        </is>
      </c>
      <c r="H3" s="13" t="inlineStr">
        <is>
          <t>Unkown</t>
        </is>
      </c>
    </row>
    <row r="4" customFormat="1" s="13">
      <c r="G4" s="13" t="inlineStr">
        <is>
          <t>Low:</t>
        </is>
      </c>
      <c r="H4" s="13">
        <f>MIN(A2:A618)</f>
        <v/>
      </c>
    </row>
    <row r="5" customFormat="1" s="13">
      <c r="G5" s="13" t="inlineStr">
        <is>
          <t>High:</t>
        </is>
      </c>
      <c r="H5" s="13">
        <f>MAX(A2:A618)</f>
        <v/>
      </c>
    </row>
    <row r="6" customFormat="1" s="13">
      <c r="G6" s="13" t="inlineStr">
        <is>
          <t>NPoints:</t>
        </is>
      </c>
      <c r="H6" s="13">
        <f>COUNT(A2:A618)</f>
        <v/>
      </c>
    </row>
    <row r="7" customFormat="1" s="13">
      <c r="G7" s="13" t="inlineStr">
        <is>
          <t>Reference:</t>
        </is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1:H7"/>
  <sheetViews>
    <sheetView workbookViewId="0">
      <selection activeCell="B1" sqref="B1"/>
    </sheetView>
  </sheetViews>
  <sheetFormatPr baseColWidth="8" defaultColWidth="2.42578125" defaultRowHeight="15"/>
  <cols>
    <col width="5.28515625" bestFit="1" customWidth="1" style="13" min="1" max="1"/>
    <col width="8" bestFit="1" customWidth="1" style="13" min="2" max="2"/>
    <col width="8.5703125" bestFit="1" customWidth="1" style="13" min="3" max="3"/>
    <col width="9.42578125" bestFit="1" customWidth="1" style="13" min="4" max="4"/>
    <col width="2.42578125" customWidth="1" style="13" min="5" max="6"/>
    <col width="13.28515625" bestFit="1" customWidth="1" style="13" min="7" max="7"/>
    <col width="20.140625" bestFit="1" customWidth="1" style="13" min="8" max="8"/>
    <col width="2.42578125" customWidth="1" style="13" min="9" max="16384"/>
  </cols>
  <sheetData>
    <row r="1" customFormat="1" s="13">
      <c r="C1" s="13" t="inlineStr">
        <is>
          <t>eps_real</t>
        </is>
      </c>
      <c r="D1" s="13" t="inlineStr">
        <is>
          <t>eps_imag</t>
        </is>
      </c>
      <c r="G1" s="13" t="inlineStr">
        <is>
          <t>Entry:</t>
        </is>
      </c>
      <c r="H1" s="13" t="inlineStr">
        <is>
          <t>Constant permittivity</t>
        </is>
      </c>
    </row>
    <row r="2" customFormat="1" s="13">
      <c r="C2" s="13" t="n">
        <v>2.25</v>
      </c>
      <c r="D2" s="13" t="n">
        <v>0</v>
      </c>
      <c r="G2" s="13" t="inlineStr">
        <is>
          <t>Density:</t>
        </is>
      </c>
      <c r="H2" s="13" t="n">
        <v>2.75</v>
      </c>
    </row>
    <row r="3" customFormat="1" s="13">
      <c r="G3" s="13" t="inlineStr">
        <is>
          <t>Temperature:</t>
        </is>
      </c>
      <c r="H3" s="13" t="inlineStr">
        <is>
          <t>Unkown</t>
        </is>
      </c>
    </row>
    <row r="4" customFormat="1" s="13">
      <c r="G4" s="13" t="inlineStr">
        <is>
          <t>Low:</t>
        </is>
      </c>
      <c r="H4" s="13">
        <f>MIN(A2:A618)</f>
        <v/>
      </c>
    </row>
    <row r="5" customFormat="1" s="13">
      <c r="G5" s="13" t="inlineStr">
        <is>
          <t>High:</t>
        </is>
      </c>
      <c r="H5" s="13">
        <f>MAX(A2:A618)</f>
        <v/>
      </c>
    </row>
    <row r="6" customFormat="1" s="13">
      <c r="G6" s="13" t="inlineStr">
        <is>
          <t>NPoints:</t>
        </is>
      </c>
      <c r="H6" s="13">
        <f>COUNT(A2:A618)</f>
        <v/>
      </c>
    </row>
    <row r="7" customFormat="1" s="13">
      <c r="G7" s="13" t="inlineStr">
        <is>
          <t>Reference:</t>
        </is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C1:H7"/>
  <sheetViews>
    <sheetView workbookViewId="0">
      <selection activeCell="B1" sqref="B1"/>
    </sheetView>
  </sheetViews>
  <sheetFormatPr baseColWidth="8" defaultColWidth="2.42578125" defaultRowHeight="15"/>
  <cols>
    <col width="5.28515625" bestFit="1" customWidth="1" style="13" min="1" max="1"/>
    <col width="8" bestFit="1" customWidth="1" style="13" min="2" max="2"/>
    <col width="8.5703125" bestFit="1" customWidth="1" style="13" min="3" max="3"/>
    <col width="9.42578125" bestFit="1" customWidth="1" style="13" min="4" max="4"/>
    <col width="2.42578125" customWidth="1" style="13" min="5" max="6"/>
    <col width="13.28515625" bestFit="1" customWidth="1" style="13" min="7" max="7"/>
    <col width="20.140625" bestFit="1" customWidth="1" style="13" min="8" max="8"/>
    <col width="2.42578125" customWidth="1" style="13" min="9" max="16384"/>
  </cols>
  <sheetData>
    <row r="1" customFormat="1" s="13">
      <c r="C1" s="13" t="inlineStr">
        <is>
          <t>eps_real</t>
        </is>
      </c>
      <c r="D1" s="13" t="inlineStr">
        <is>
          <t>eps_imag</t>
        </is>
      </c>
      <c r="G1" s="13" t="inlineStr">
        <is>
          <t>Entry:</t>
        </is>
      </c>
      <c r="H1" s="13" t="inlineStr">
        <is>
          <t>Constant permittivity</t>
        </is>
      </c>
    </row>
    <row r="2" customFormat="1" s="13">
      <c r="C2" s="13" t="n">
        <v>2.155</v>
      </c>
      <c r="D2" s="13" t="n">
        <v>0</v>
      </c>
      <c r="G2" s="13" t="inlineStr">
        <is>
          <t>Density:</t>
        </is>
      </c>
      <c r="H2" s="13" t="n">
        <v>0.838</v>
      </c>
    </row>
    <row r="3" customFormat="1" s="13">
      <c r="G3" s="13" t="inlineStr">
        <is>
          <t>Temperature:</t>
        </is>
      </c>
      <c r="H3" s="13" t="inlineStr">
        <is>
          <t>Unkown</t>
        </is>
      </c>
    </row>
    <row r="4" customFormat="1" s="13">
      <c r="G4" s="13" t="inlineStr">
        <is>
          <t>Low:</t>
        </is>
      </c>
      <c r="H4" s="13">
        <f>MIN(A2:A618)</f>
        <v/>
      </c>
    </row>
    <row r="5" customFormat="1" s="13">
      <c r="G5" s="13" t="inlineStr">
        <is>
          <t>High:</t>
        </is>
      </c>
      <c r="H5" s="13">
        <f>MAX(A2:A618)</f>
        <v/>
      </c>
    </row>
    <row r="6" customFormat="1" s="13">
      <c r="G6" s="13" t="inlineStr">
        <is>
          <t>NPoints:</t>
        </is>
      </c>
      <c r="H6" s="13">
        <f>COUNT(A2:A618)</f>
        <v/>
      </c>
    </row>
    <row r="7" customFormat="1" s="13">
      <c r="G7" s="13" t="inlineStr">
        <is>
          <t>Reference:</t>
        </is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C1:H7"/>
  <sheetViews>
    <sheetView workbookViewId="0">
      <selection activeCell="A1" sqref="A1:B1"/>
    </sheetView>
  </sheetViews>
  <sheetFormatPr baseColWidth="8" defaultColWidth="2.42578125" defaultRowHeight="15"/>
  <cols>
    <col width="5.28515625" bestFit="1" customWidth="1" style="13" min="1" max="1"/>
    <col width="8" bestFit="1" customWidth="1" style="13" min="2" max="2"/>
    <col width="5" bestFit="1" customWidth="1" style="13" min="3" max="3"/>
    <col width="2" bestFit="1" customWidth="1" style="13" min="4" max="4"/>
    <col width="2.42578125" customWidth="1" style="13" min="5" max="6"/>
    <col width="13.28515625" bestFit="1" customWidth="1" style="13" min="7" max="7"/>
    <col width="23.7109375" bestFit="1" customWidth="1" style="13" min="8" max="8"/>
    <col width="2.42578125" customWidth="1" style="13" min="9" max="16384"/>
  </cols>
  <sheetData>
    <row r="1" customFormat="1" s="13">
      <c r="C1" s="13" t="inlineStr">
        <is>
          <t>n</t>
        </is>
      </c>
      <c r="D1" s="13" t="inlineStr">
        <is>
          <t>k</t>
        </is>
      </c>
      <c r="G1" s="13" t="inlineStr">
        <is>
          <t>Entry:</t>
        </is>
      </c>
      <c r="H1" s="13" t="inlineStr">
        <is>
          <t>Constant refractive index</t>
        </is>
      </c>
    </row>
    <row r="2" customFormat="1" s="13">
      <c r="C2" s="13" t="n">
        <v>1.49</v>
      </c>
      <c r="D2" s="13" t="n">
        <v>0</v>
      </c>
      <c r="G2" s="13" t="inlineStr">
        <is>
          <t>Density:</t>
        </is>
      </c>
      <c r="H2" s="13" t="n">
        <v>0.91</v>
      </c>
    </row>
    <row r="3" customFormat="1" s="13">
      <c r="G3" s="13" t="inlineStr">
        <is>
          <t>Temperature:</t>
        </is>
      </c>
      <c r="H3" s="13" t="inlineStr">
        <is>
          <t>Unkown</t>
        </is>
      </c>
    </row>
    <row r="4" customFormat="1" s="13">
      <c r="G4" s="13" t="inlineStr">
        <is>
          <t>Low:</t>
        </is>
      </c>
      <c r="H4" s="13">
        <f>MIN(A2:A618)</f>
        <v/>
      </c>
    </row>
    <row r="5" customFormat="1" s="13">
      <c r="G5" s="13" t="inlineStr">
        <is>
          <t>High:</t>
        </is>
      </c>
      <c r="H5" s="13">
        <f>MAX(A2:A618)</f>
        <v/>
      </c>
    </row>
    <row r="6" customFormat="1" s="13">
      <c r="G6" s="13" t="inlineStr">
        <is>
          <t>NPoints:</t>
        </is>
      </c>
      <c r="H6" s="13">
        <f>COUNT(A2:A618)</f>
        <v/>
      </c>
    </row>
    <row r="7" customFormat="1" s="13">
      <c r="G7" s="13" t="inlineStr">
        <is>
          <t>Reference:</t>
        </is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C1:H7"/>
  <sheetViews>
    <sheetView workbookViewId="0">
      <selection activeCell="A1" sqref="A1:B1"/>
    </sheetView>
  </sheetViews>
  <sheetFormatPr baseColWidth="8" defaultColWidth="12.85546875" defaultRowHeight="15"/>
  <cols>
    <col width="12.85546875" customWidth="1" style="2" min="1" max="16384"/>
  </cols>
  <sheetData>
    <row r="1">
      <c r="C1" s="2" t="inlineStr">
        <is>
          <t>n</t>
        </is>
      </c>
      <c r="D1" s="2" t="inlineStr">
        <is>
          <t>k</t>
        </is>
      </c>
      <c r="G1" s="2" t="inlineStr">
        <is>
          <t>Entry:</t>
        </is>
      </c>
      <c r="H1" s="2" t="inlineStr">
        <is>
          <t>Constant refractive index</t>
        </is>
      </c>
    </row>
    <row r="2">
      <c r="C2" s="2" t="n">
        <v>3.42</v>
      </c>
      <c r="D2" s="2" t="n">
        <v>0</v>
      </c>
      <c r="G2" s="2" t="inlineStr">
        <is>
          <t>Density:</t>
        </is>
      </c>
      <c r="H2" s="2" t="n">
        <v>2.33</v>
      </c>
    </row>
    <row r="3">
      <c r="G3" s="2" t="inlineStr">
        <is>
          <t>Temperature:</t>
        </is>
      </c>
      <c r="H3" s="2" t="inlineStr">
        <is>
          <t>Unkown</t>
        </is>
      </c>
    </row>
    <row r="4">
      <c r="G4" s="2" t="inlineStr">
        <is>
          <t>Low:</t>
        </is>
      </c>
      <c r="H4" s="2">
        <f>MIN(A2:A618)</f>
        <v/>
      </c>
    </row>
    <row r="5">
      <c r="G5" s="2" t="inlineStr">
        <is>
          <t>High:</t>
        </is>
      </c>
      <c r="H5" s="2">
        <f>MAX(A2:A618)</f>
        <v/>
      </c>
    </row>
    <row r="6">
      <c r="G6" s="2" t="inlineStr">
        <is>
          <t>NPoints:</t>
        </is>
      </c>
      <c r="H6" s="2">
        <f>COUNT(A2:A618)</f>
        <v/>
      </c>
    </row>
    <row r="7">
      <c r="G7" s="2" t="inlineStr">
        <is>
          <t>Reference:</t>
        </is>
      </c>
      <c r="H7" s="2" t="inlineStr">
        <is>
          <t>D . F . Edwards, in Handbook of Optical Constants of Solids, edited by E. D. Palik (Academic, Orlando, 1985), pp. 547-569.</t>
        </is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72"/>
  <sheetViews>
    <sheetView workbookViewId="0">
      <selection activeCell="G22" sqref="G22"/>
    </sheetView>
  </sheetViews>
  <sheetFormatPr baseColWidth="8" defaultColWidth="2.42578125" defaultRowHeight="15"/>
  <cols>
    <col width="15.85546875" customWidth="1" style="9" min="1" max="1"/>
    <col width="12.85546875" customWidth="1" style="9" min="2" max="2"/>
    <col width="11.28515625" customWidth="1" style="9" min="3" max="3"/>
    <col width="15.42578125" customWidth="1" style="9" min="4" max="4"/>
    <col width="10.85546875" customWidth="1" style="9" min="5" max="5"/>
    <col width="16.85546875" customWidth="1" style="9" min="6" max="6"/>
    <col width="9.42578125" customWidth="1" style="9" min="7" max="7"/>
    <col width="11.42578125" customWidth="1" style="9" min="8" max="8"/>
    <col width="2.42578125" customWidth="1" style="9" min="9" max="16384"/>
  </cols>
  <sheetData>
    <row r="1">
      <c r="A1" s="9" t="inlineStr">
        <is>
          <t>cm-1</t>
        </is>
      </c>
      <c r="B1" s="9" t="inlineStr">
        <is>
          <t>Microns</t>
        </is>
      </c>
      <c r="C1" s="9" t="inlineStr">
        <is>
          <t>n</t>
        </is>
      </c>
      <c r="D1" s="9" t="inlineStr">
        <is>
          <t>k</t>
        </is>
      </c>
      <c r="G1" s="9" t="inlineStr">
        <is>
          <t>Entry:</t>
        </is>
      </c>
      <c r="H1" s="9" t="inlineStr">
        <is>
          <t>Tabulated refractive index</t>
        </is>
      </c>
    </row>
    <row r="2">
      <c r="A2" s="9" t="n">
        <v>0</v>
      </c>
      <c r="C2" s="22">
        <f>C3+(C3-C4)/($A4-$A3)*($A3-$A2)</f>
        <v/>
      </c>
      <c r="D2" s="22">
        <f>D3+(D3-D4)/($A4-$A3)*($A3-$A2)</f>
        <v/>
      </c>
      <c r="E2" s="9" t="inlineStr">
        <is>
          <t>Extrapolated values</t>
        </is>
      </c>
      <c r="G2" s="9" t="inlineStr">
        <is>
          <t>Density:</t>
        </is>
      </c>
      <c r="H2" s="23" t="n">
        <v>1</v>
      </c>
    </row>
    <row r="3">
      <c r="A3" s="9" t="n">
        <v>20</v>
      </c>
      <c r="C3" s="22">
        <f>C4+(C4-C5)/($A5-$A4)*($A4-$A3)</f>
        <v/>
      </c>
      <c r="D3" s="22">
        <f>D4+(D4-D5)/($A5-$A4)*($A4-$A3)</f>
        <v/>
      </c>
      <c r="E3" s="9" t="inlineStr">
        <is>
          <t>Extrapolated values</t>
        </is>
      </c>
      <c r="G3" s="9" t="inlineStr">
        <is>
          <t>Temperature:</t>
        </is>
      </c>
      <c r="H3" s="9" t="n">
        <v>25</v>
      </c>
    </row>
    <row r="4">
      <c r="A4" s="24">
        <f>10000/B4</f>
        <v/>
      </c>
      <c r="B4" s="9" t="n">
        <v>200</v>
      </c>
      <c r="C4" s="22" t="n">
        <v>2.13</v>
      </c>
      <c r="D4" s="22" t="n">
        <v>0.504</v>
      </c>
      <c r="G4" s="9" t="inlineStr">
        <is>
          <t>Low:</t>
        </is>
      </c>
      <c r="H4" s="9">
        <f>MIN(A2:A170)</f>
        <v/>
      </c>
    </row>
    <row r="5">
      <c r="A5" s="24">
        <f>10000/B5</f>
        <v/>
      </c>
      <c r="B5" s="9" t="n">
        <v>190</v>
      </c>
      <c r="C5" s="22" t="n">
        <v>2.119</v>
      </c>
      <c r="D5" s="22" t="n">
        <v>0.501</v>
      </c>
      <c r="G5" s="9" t="inlineStr">
        <is>
          <t>High:</t>
        </is>
      </c>
      <c r="H5" s="9">
        <f>MAX(A2:A170)</f>
        <v/>
      </c>
    </row>
    <row r="6">
      <c r="A6" s="24">
        <f>10000/B6</f>
        <v/>
      </c>
      <c r="B6" s="9" t="n">
        <v>180</v>
      </c>
      <c r="C6" s="22" t="n">
        <v>2.107</v>
      </c>
      <c r="D6" s="22" t="n">
        <v>0.499</v>
      </c>
      <c r="G6" s="9" t="inlineStr">
        <is>
          <t>NPoints:</t>
        </is>
      </c>
      <c r="H6" s="9">
        <f>COUNT(A2:A170)</f>
        <v/>
      </c>
    </row>
    <row r="7">
      <c r="A7" s="24">
        <f>10000/B7</f>
        <v/>
      </c>
      <c r="B7" s="9" t="n">
        <v>170</v>
      </c>
      <c r="C7" s="22" t="n">
        <v>2.094</v>
      </c>
      <c r="D7" s="22" t="n">
        <v>0.497</v>
      </c>
      <c r="G7" s="9" t="inlineStr">
        <is>
          <t>Reference:</t>
        </is>
      </c>
      <c r="H7" s="9" t="inlineStr">
        <is>
          <t>G. M. Hale and M. R. Querry. Optical constants of water in the 200-nm to 200-Âµm wavelength region, &lt;a href=\"https://doi.org/10.1364/AO.12.000555\"&gt;&lt;i&gt;Appl. Opt.&lt;/i&gt; &lt;b&gt;12&lt;/b&gt;, 555-563 (1973)&lt;/a&gt;&lt;br&gt;See also &lt;a href=\"https://refractiveindex.info/?shelf=main&amp;book=H2O&amp;page=Segelstein\"&gt;&lt;i&gt;Segelstein 1981&lt;/i&gt;&lt;/a&gt; for more recent data from the same group.</t>
        </is>
      </c>
    </row>
    <row r="8">
      <c r="A8" s="24">
        <f>10000/B8</f>
        <v/>
      </c>
      <c r="B8" s="9" t="n">
        <v>160</v>
      </c>
      <c r="C8" s="22" t="n">
        <v>2.081</v>
      </c>
      <c r="D8" s="22" t="n">
        <v>0.496</v>
      </c>
    </row>
    <row r="9">
      <c r="A9" s="24">
        <f>10000/B9</f>
        <v/>
      </c>
      <c r="B9" s="9" t="n">
        <v>150</v>
      </c>
      <c r="C9" s="22" t="n">
        <v>2.069</v>
      </c>
      <c r="D9" s="22" t="n">
        <v>0.495</v>
      </c>
    </row>
    <row r="10">
      <c r="A10" s="24">
        <f>10000/B10</f>
        <v/>
      </c>
      <c r="B10" s="9" t="n">
        <v>140</v>
      </c>
      <c r="C10" s="22" t="n">
        <v>2.056</v>
      </c>
      <c r="D10" s="22" t="n">
        <v>0.5</v>
      </c>
    </row>
    <row r="11">
      <c r="A11" s="24">
        <f>10000/B11</f>
        <v/>
      </c>
      <c r="B11" s="9" t="n">
        <v>130</v>
      </c>
      <c r="C11" s="22" t="n">
        <v>2.036</v>
      </c>
      <c r="D11" s="22" t="n">
        <v>0.514</v>
      </c>
    </row>
    <row r="12">
      <c r="A12" s="24">
        <f>10000/B12</f>
        <v/>
      </c>
      <c r="B12" s="9" t="n">
        <v>120</v>
      </c>
      <c r="C12" s="22" t="n">
        <v>2.004</v>
      </c>
      <c r="D12" s="22" t="n">
        <v>0.526</v>
      </c>
    </row>
    <row r="13">
      <c r="A13" s="24">
        <f>10000/B13</f>
        <v/>
      </c>
      <c r="B13" s="9" t="n">
        <v>110</v>
      </c>
      <c r="C13" s="22" t="n">
        <v>1.966</v>
      </c>
      <c r="D13" s="22" t="n">
        <v>0.531</v>
      </c>
    </row>
    <row r="14">
      <c r="A14" s="24">
        <f>10000/B14</f>
        <v/>
      </c>
      <c r="B14" s="9" t="n">
        <v>100</v>
      </c>
      <c r="C14" s="22" t="n">
        <v>1.957</v>
      </c>
      <c r="D14" s="22" t="n">
        <v>0.532</v>
      </c>
    </row>
    <row r="15">
      <c r="A15" s="24">
        <f>10000/B15</f>
        <v/>
      </c>
      <c r="B15" s="9" t="n">
        <v>90</v>
      </c>
      <c r="C15" s="22" t="n">
        <v>1.924</v>
      </c>
      <c r="D15" s="22" t="n">
        <v>0.536</v>
      </c>
    </row>
    <row r="16">
      <c r="A16" s="24">
        <f>10000/B16</f>
        <v/>
      </c>
      <c r="B16" s="9" t="n">
        <v>80</v>
      </c>
      <c r="C16" s="22" t="n">
        <v>1.886</v>
      </c>
      <c r="D16" s="22" t="n">
        <v>0.547</v>
      </c>
    </row>
    <row r="17">
      <c r="A17" s="24">
        <f>10000/B17</f>
        <v/>
      </c>
      <c r="B17" s="9" t="n">
        <v>70</v>
      </c>
      <c r="C17" s="22" t="n">
        <v>1.821</v>
      </c>
      <c r="D17" s="22" t="n">
        <v>0.576</v>
      </c>
    </row>
    <row r="18">
      <c r="A18" s="24">
        <f>10000/B18</f>
        <v/>
      </c>
      <c r="B18" s="9" t="n">
        <v>60</v>
      </c>
      <c r="C18" s="22" t="n">
        <v>1.703</v>
      </c>
      <c r="D18" s="22" t="n">
        <v>0.587</v>
      </c>
    </row>
    <row r="19">
      <c r="A19" s="24">
        <f>10000/B19</f>
        <v/>
      </c>
      <c r="B19" s="9" t="n">
        <v>50</v>
      </c>
      <c r="C19" s="22" t="n">
        <v>1.587</v>
      </c>
      <c r="D19" s="22" t="n">
        <v>0.514</v>
      </c>
    </row>
    <row r="20">
      <c r="A20" s="24">
        <f>10000/B20</f>
        <v/>
      </c>
      <c r="B20" s="9" t="n">
        <v>48</v>
      </c>
      <c r="C20" s="22" t="n">
        <v>1.555</v>
      </c>
      <c r="D20" s="22" t="n">
        <v>0.488</v>
      </c>
    </row>
    <row r="21">
      <c r="A21" s="24">
        <f>10000/B21</f>
        <v/>
      </c>
      <c r="B21" s="9" t="n">
        <v>46</v>
      </c>
      <c r="C21" s="22" t="n">
        <v>1.541</v>
      </c>
      <c r="D21" s="22" t="n">
        <v>0.462</v>
      </c>
    </row>
    <row r="22">
      <c r="A22" s="24">
        <f>10000/B22</f>
        <v/>
      </c>
      <c r="B22" s="9" t="n">
        <v>44</v>
      </c>
      <c r="C22" s="22" t="n">
        <v>1.53</v>
      </c>
      <c r="D22" s="22" t="n">
        <v>0.436</v>
      </c>
    </row>
    <row r="23">
      <c r="A23" s="24">
        <f>10000/B23</f>
        <v/>
      </c>
      <c r="B23" s="9" t="n">
        <v>42</v>
      </c>
      <c r="C23" s="22" t="n">
        <v>1.522</v>
      </c>
      <c r="D23" s="22" t="n">
        <v>0.409</v>
      </c>
    </row>
    <row r="24">
      <c r="A24" s="24">
        <f>10000/B24</f>
        <v/>
      </c>
      <c r="B24" s="9" t="n">
        <v>40</v>
      </c>
      <c r="C24" s="22" t="n">
        <v>1.519</v>
      </c>
      <c r="D24" s="22" t="n">
        <v>0.385</v>
      </c>
    </row>
    <row r="25">
      <c r="A25" s="24">
        <f>10000/B25</f>
        <v/>
      </c>
      <c r="B25" s="9" t="n">
        <v>38</v>
      </c>
      <c r="C25" s="22" t="n">
        <v>1.522</v>
      </c>
      <c r="D25" s="22" t="n">
        <v>0.361</v>
      </c>
    </row>
    <row r="26">
      <c r="A26" s="24">
        <f>10000/B26</f>
        <v/>
      </c>
      <c r="B26" s="9" t="n">
        <v>36</v>
      </c>
      <c r="C26" s="22" t="n">
        <v>1.527</v>
      </c>
      <c r="D26" s="22" t="n">
        <v>0.343</v>
      </c>
    </row>
    <row r="27">
      <c r="A27" s="24">
        <f>10000/B27</f>
        <v/>
      </c>
      <c r="B27" s="9" t="n">
        <v>34</v>
      </c>
      <c r="C27" s="22" t="n">
        <v>1.536</v>
      </c>
      <c r="D27" s="22" t="n">
        <v>0.329</v>
      </c>
    </row>
    <row r="28">
      <c r="A28" s="24">
        <f>10000/B28</f>
        <v/>
      </c>
      <c r="B28" s="9" t="n">
        <v>32</v>
      </c>
      <c r="C28" s="22" t="n">
        <v>1.546</v>
      </c>
      <c r="D28" s="22" t="n">
        <v>0.324</v>
      </c>
    </row>
    <row r="29">
      <c r="A29" s="24">
        <f>10000/B29</f>
        <v/>
      </c>
      <c r="B29" s="9" t="n">
        <v>30</v>
      </c>
      <c r="C29" s="22" t="n">
        <v>1.551</v>
      </c>
      <c r="D29" s="22" t="n">
        <v>0.328</v>
      </c>
    </row>
    <row r="30">
      <c r="A30" s="24">
        <f>10000/B30</f>
        <v/>
      </c>
      <c r="B30" s="9" t="n">
        <v>29</v>
      </c>
      <c r="C30" s="22" t="n">
        <v>1.551</v>
      </c>
      <c r="D30" s="22" t="n">
        <v>0.333</v>
      </c>
    </row>
    <row r="31">
      <c r="A31" s="24">
        <f>10000/B31</f>
        <v/>
      </c>
      <c r="B31" s="9" t="n">
        <v>28</v>
      </c>
      <c r="C31" s="22" t="n">
        <v>1.549</v>
      </c>
      <c r="D31" s="22" t="n">
        <v>0.338</v>
      </c>
    </row>
    <row r="32">
      <c r="A32" s="24">
        <f>10000/B32</f>
        <v/>
      </c>
      <c r="B32" s="9" t="n">
        <v>27</v>
      </c>
      <c r="C32" s="22" t="n">
        <v>1.545</v>
      </c>
      <c r="D32" s="22" t="n">
        <v>0.344</v>
      </c>
    </row>
    <row r="33">
      <c r="A33" s="24">
        <f>10000/B33</f>
        <v/>
      </c>
      <c r="B33" s="9" t="n">
        <v>26</v>
      </c>
      <c r="C33" s="22" t="n">
        <v>1.539</v>
      </c>
      <c r="D33" s="22" t="n">
        <v>0.35</v>
      </c>
    </row>
    <row r="34">
      <c r="A34" s="24">
        <f>10000/B34</f>
        <v/>
      </c>
      <c r="B34" s="9" t="n">
        <v>25</v>
      </c>
      <c r="C34" s="22" t="n">
        <v>1.531</v>
      </c>
      <c r="D34" s="22" t="n">
        <v>0.356</v>
      </c>
    </row>
    <row r="35">
      <c r="A35" s="24">
        <f>10000/B35</f>
        <v/>
      </c>
      <c r="B35" s="9" t="n">
        <v>24</v>
      </c>
      <c r="C35" s="22" t="n">
        <v>1.521</v>
      </c>
      <c r="D35" s="22" t="n">
        <v>0.361</v>
      </c>
    </row>
    <row r="36">
      <c r="A36" s="24">
        <f>10000/B36</f>
        <v/>
      </c>
      <c r="B36" s="9" t="n">
        <v>23</v>
      </c>
      <c r="C36" s="22" t="n">
        <v>1.511</v>
      </c>
      <c r="D36" s="22" t="n">
        <v>0.367</v>
      </c>
    </row>
    <row r="37">
      <c r="A37" s="24">
        <f>10000/B37</f>
        <v/>
      </c>
      <c r="B37" s="9" t="n">
        <v>22</v>
      </c>
      <c r="C37" s="22" t="n">
        <v>1.5</v>
      </c>
      <c r="D37" s="22" t="n">
        <v>0.373</v>
      </c>
    </row>
    <row r="38">
      <c r="A38" s="24">
        <f>10000/B38</f>
        <v/>
      </c>
      <c r="B38" s="9" t="n">
        <v>21</v>
      </c>
      <c r="C38" s="22" t="n">
        <v>1.487</v>
      </c>
      <c r="D38" s="22" t="n">
        <v>0.382</v>
      </c>
    </row>
    <row r="39">
      <c r="A39" s="24">
        <f>10000/B39</f>
        <v/>
      </c>
      <c r="B39" s="9" t="n">
        <v>20</v>
      </c>
      <c r="C39" s="22" t="n">
        <v>1.48</v>
      </c>
      <c r="D39" s="22" t="n">
        <v>0.393</v>
      </c>
    </row>
    <row r="40">
      <c r="A40" s="24">
        <f>10000/B40</f>
        <v/>
      </c>
      <c r="B40" s="9" t="n">
        <v>19.5</v>
      </c>
      <c r="C40" s="22" t="n">
        <v>1.476</v>
      </c>
      <c r="D40" s="22" t="n">
        <v>0.404</v>
      </c>
    </row>
    <row r="41">
      <c r="A41" s="24">
        <f>10000/B41</f>
        <v/>
      </c>
      <c r="B41" s="9" t="n">
        <v>19</v>
      </c>
      <c r="C41" s="22" t="n">
        <v>1.461</v>
      </c>
      <c r="D41" s="22" t="n">
        <v>0.414</v>
      </c>
    </row>
    <row r="42">
      <c r="A42" s="24">
        <f>10000/B42</f>
        <v/>
      </c>
      <c r="B42" s="9" t="n">
        <v>18.5</v>
      </c>
      <c r="C42" s="22" t="n">
        <v>1.443</v>
      </c>
      <c r="D42" s="22" t="n">
        <v>0.421</v>
      </c>
    </row>
    <row r="43">
      <c r="A43" s="24">
        <f>10000/B43</f>
        <v/>
      </c>
      <c r="B43" s="9" t="n">
        <v>18</v>
      </c>
      <c r="C43" s="22" t="n">
        <v>1.423</v>
      </c>
      <c r="D43" s="22" t="n">
        <v>0.426</v>
      </c>
    </row>
    <row r="44">
      <c r="A44" s="24">
        <f>10000/B44</f>
        <v/>
      </c>
      <c r="B44" s="9" t="n">
        <v>17.5</v>
      </c>
      <c r="C44" s="22" t="n">
        <v>1.401</v>
      </c>
      <c r="D44" s="22" t="n">
        <v>0.429</v>
      </c>
    </row>
    <row r="45">
      <c r="A45" s="24">
        <f>10000/B45</f>
        <v/>
      </c>
      <c r="B45" s="9" t="n">
        <v>17</v>
      </c>
      <c r="C45" s="22" t="n">
        <v>1.376</v>
      </c>
      <c r="D45" s="22" t="n">
        <v>0.429</v>
      </c>
    </row>
    <row r="46">
      <c r="A46" s="24">
        <f>10000/B46</f>
        <v/>
      </c>
      <c r="B46" s="9" t="n">
        <v>16.5</v>
      </c>
      <c r="C46" s="22" t="n">
        <v>1.351</v>
      </c>
      <c r="D46" s="22" t="n">
        <v>0.428</v>
      </c>
    </row>
    <row r="47">
      <c r="A47" s="24">
        <f>10000/B47</f>
        <v/>
      </c>
      <c r="B47" s="9" t="n">
        <v>16</v>
      </c>
      <c r="C47" s="22" t="n">
        <v>1.325</v>
      </c>
      <c r="D47" s="22" t="n">
        <v>0.422</v>
      </c>
    </row>
    <row r="48">
      <c r="A48" s="24">
        <f>10000/B48</f>
        <v/>
      </c>
      <c r="B48" s="9" t="n">
        <v>15.5</v>
      </c>
      <c r="C48" s="22" t="n">
        <v>1.297</v>
      </c>
      <c r="D48" s="22" t="n">
        <v>0.414</v>
      </c>
    </row>
    <row r="49">
      <c r="A49" s="24">
        <f>10000/B49</f>
        <v/>
      </c>
      <c r="B49" s="9" t="n">
        <v>15</v>
      </c>
      <c r="C49" s="22" t="n">
        <v>1.27</v>
      </c>
      <c r="D49" s="22" t="n">
        <v>0.402</v>
      </c>
    </row>
    <row r="50">
      <c r="A50" s="24">
        <f>10000/B50</f>
        <v/>
      </c>
      <c r="B50" s="9" t="n">
        <v>14.5</v>
      </c>
      <c r="C50" s="22" t="n">
        <v>1.241</v>
      </c>
      <c r="D50" s="22" t="n">
        <v>0.388</v>
      </c>
    </row>
    <row r="51">
      <c r="A51" s="24">
        <f>10000/B51</f>
        <v/>
      </c>
      <c r="B51" s="9" t="n">
        <v>14</v>
      </c>
      <c r="C51" s="22" t="n">
        <v>1.21</v>
      </c>
      <c r="D51" s="22" t="n">
        <v>0.37</v>
      </c>
    </row>
    <row r="52">
      <c r="A52" s="24">
        <f>10000/B52</f>
        <v/>
      </c>
      <c r="B52" s="9" t="n">
        <v>13.5</v>
      </c>
      <c r="C52" s="22" t="n">
        <v>1.177</v>
      </c>
      <c r="D52" s="22" t="n">
        <v>0.343</v>
      </c>
    </row>
    <row r="53">
      <c r="A53" s="24">
        <f>10000/B53</f>
        <v/>
      </c>
      <c r="B53" s="9" t="n">
        <v>13</v>
      </c>
      <c r="C53" s="22" t="n">
        <v>1.146</v>
      </c>
      <c r="D53" s="22" t="n">
        <v>0.305</v>
      </c>
    </row>
    <row r="54">
      <c r="A54" s="24">
        <f>10000/B54</f>
        <v/>
      </c>
      <c r="B54" s="9" t="n">
        <v>12.5</v>
      </c>
      <c r="C54" s="22" t="n">
        <v>1.123</v>
      </c>
      <c r="D54" s="22" t="n">
        <v>0.259</v>
      </c>
    </row>
    <row r="55">
      <c r="A55" s="24">
        <f>10000/B55</f>
        <v/>
      </c>
      <c r="B55" s="9" t="n">
        <v>12</v>
      </c>
      <c r="C55" s="22" t="n">
        <v>1.111</v>
      </c>
      <c r="D55" s="22" t="n">
        <v>0.199</v>
      </c>
    </row>
    <row r="56">
      <c r="A56" s="24">
        <f>10000/B56</f>
        <v/>
      </c>
      <c r="B56" s="9" t="n">
        <v>11.5</v>
      </c>
      <c r="C56" s="22" t="n">
        <v>1.126</v>
      </c>
      <c r="D56" s="22" t="n">
        <v>0.142</v>
      </c>
    </row>
    <row r="57">
      <c r="A57" s="24">
        <f>10000/B57</f>
        <v/>
      </c>
      <c r="B57" s="9" t="n">
        <v>11</v>
      </c>
      <c r="C57" s="22" t="n">
        <v>1.153</v>
      </c>
      <c r="D57" s="22" t="n">
        <v>0.0968</v>
      </c>
    </row>
    <row r="58">
      <c r="A58" s="24">
        <f>10000/B58</f>
        <v/>
      </c>
      <c r="B58" s="9" t="n">
        <v>10.5</v>
      </c>
      <c r="C58" s="22" t="n">
        <v>1.185</v>
      </c>
      <c r="D58" s="22" t="n">
        <v>0.06619999999999999</v>
      </c>
    </row>
    <row r="59">
      <c r="A59" s="24">
        <f>10000/B59</f>
        <v/>
      </c>
      <c r="B59" s="9" t="n">
        <v>10</v>
      </c>
      <c r="C59" s="22" t="n">
        <v>1.218</v>
      </c>
      <c r="D59" s="22" t="n">
        <v>0.0508</v>
      </c>
    </row>
    <row r="60">
      <c r="A60" s="24">
        <f>10000/B60</f>
        <v/>
      </c>
      <c r="B60" s="9" t="n">
        <v>9.800000000000001</v>
      </c>
      <c r="C60" s="22" t="n">
        <v>1.229</v>
      </c>
      <c r="D60" s="22" t="n">
        <v>0.0479</v>
      </c>
    </row>
    <row r="61">
      <c r="A61" s="24">
        <f>10000/B61</f>
        <v/>
      </c>
      <c r="B61" s="9" t="n">
        <v>9.6</v>
      </c>
      <c r="C61" s="22" t="n">
        <v>1.239</v>
      </c>
      <c r="D61" s="22" t="n">
        <v>0.0454</v>
      </c>
    </row>
    <row r="62">
      <c r="A62" s="24">
        <f>10000/B62</f>
        <v/>
      </c>
      <c r="B62" s="9" t="n">
        <v>9.4</v>
      </c>
      <c r="C62" s="22" t="n">
        <v>1.247</v>
      </c>
      <c r="D62" s="22" t="n">
        <v>0.0433</v>
      </c>
    </row>
    <row r="63">
      <c r="A63" s="24">
        <f>10000/B63</f>
        <v/>
      </c>
      <c r="B63" s="9" t="n">
        <v>9.199999999999999</v>
      </c>
      <c r="C63" s="22" t="n">
        <v>1.255</v>
      </c>
      <c r="D63" s="22" t="n">
        <v>0.0415</v>
      </c>
    </row>
    <row r="64">
      <c r="A64" s="24">
        <f>10000/B64</f>
        <v/>
      </c>
      <c r="B64" s="9" t="n">
        <v>9</v>
      </c>
      <c r="C64" s="22" t="n">
        <v>1.262</v>
      </c>
      <c r="D64" s="22" t="n">
        <v>0.0399</v>
      </c>
    </row>
    <row r="65">
      <c r="A65" s="24">
        <f>10000/B65</f>
        <v/>
      </c>
      <c r="B65" s="9" t="n">
        <v>8.800000000000001</v>
      </c>
      <c r="C65" s="22" t="n">
        <v>1.269</v>
      </c>
      <c r="D65" s="22" t="n">
        <v>0.0385</v>
      </c>
    </row>
    <row r="66">
      <c r="A66" s="24">
        <f>10000/B66</f>
        <v/>
      </c>
      <c r="B66" s="9" t="n">
        <v>8.6</v>
      </c>
      <c r="C66" s="22" t="n">
        <v>1.275</v>
      </c>
      <c r="D66" s="22" t="n">
        <v>0.0372</v>
      </c>
    </row>
    <row r="67">
      <c r="A67" s="24">
        <f>10000/B67</f>
        <v/>
      </c>
      <c r="B67" s="9" t="n">
        <v>8.4</v>
      </c>
      <c r="C67" s="22" t="n">
        <v>1.281</v>
      </c>
      <c r="D67" s="22" t="n">
        <v>0.0361</v>
      </c>
    </row>
    <row r="68">
      <c r="A68" s="24">
        <f>10000/B68</f>
        <v/>
      </c>
      <c r="B68" s="9" t="n">
        <v>8.199999999999999</v>
      </c>
      <c r="C68" s="22" t="n">
        <v>1.286</v>
      </c>
      <c r="D68" s="22" t="n">
        <v>0.0351</v>
      </c>
    </row>
    <row r="69">
      <c r="A69" s="24">
        <f>10000/B69</f>
        <v/>
      </c>
      <c r="B69" s="9" t="n">
        <v>8</v>
      </c>
      <c r="C69" s="22" t="n">
        <v>1.291</v>
      </c>
      <c r="D69" s="22" t="n">
        <v>0.0343</v>
      </c>
    </row>
    <row r="70">
      <c r="A70" s="24">
        <f>10000/B70</f>
        <v/>
      </c>
      <c r="B70" s="9" t="n">
        <v>7.9</v>
      </c>
      <c r="C70" s="22" t="n">
        <v>1.294</v>
      </c>
      <c r="D70" s="22" t="n">
        <v>0.0339</v>
      </c>
    </row>
    <row r="71">
      <c r="A71" s="24">
        <f>10000/B71</f>
        <v/>
      </c>
      <c r="B71" s="9" t="n">
        <v>7.8</v>
      </c>
      <c r="C71" s="22" t="n">
        <v>1.297</v>
      </c>
      <c r="D71" s="22" t="n">
        <v>0.0335</v>
      </c>
    </row>
    <row r="72">
      <c r="A72" s="24">
        <f>10000/B72</f>
        <v/>
      </c>
      <c r="B72" s="9" t="n">
        <v>7.7</v>
      </c>
      <c r="C72" s="22" t="n">
        <v>1.299</v>
      </c>
      <c r="D72" s="22" t="n">
        <v>0.0331</v>
      </c>
    </row>
    <row r="73">
      <c r="A73" s="24">
        <f>10000/B73</f>
        <v/>
      </c>
      <c r="B73" s="9" t="n">
        <v>7.6</v>
      </c>
      <c r="C73" s="22" t="n">
        <v>1.302</v>
      </c>
      <c r="D73" s="22" t="n">
        <v>0.0328</v>
      </c>
    </row>
    <row r="74">
      <c r="A74" s="24">
        <f>10000/B74</f>
        <v/>
      </c>
      <c r="B74" s="9" t="n">
        <v>7.5</v>
      </c>
      <c r="C74" s="22" t="n">
        <v>1.304</v>
      </c>
      <c r="D74" s="22" t="n">
        <v>0.0326</v>
      </c>
    </row>
    <row r="75">
      <c r="A75" s="24">
        <f>10000/B75</f>
        <v/>
      </c>
      <c r="B75" s="9" t="n">
        <v>7.4</v>
      </c>
      <c r="C75" s="22" t="n">
        <v>1.307</v>
      </c>
      <c r="D75" s="22" t="n">
        <v>0.0324</v>
      </c>
    </row>
    <row r="76">
      <c r="A76" s="24">
        <f>10000/B76</f>
        <v/>
      </c>
      <c r="B76" s="9" t="n">
        <v>7.3</v>
      </c>
      <c r="C76" s="22" t="n">
        <v>1.309</v>
      </c>
      <c r="D76" s="22" t="n">
        <v>0.0322</v>
      </c>
    </row>
    <row r="77">
      <c r="A77" s="24">
        <f>10000/B77</f>
        <v/>
      </c>
      <c r="B77" s="9" t="n">
        <v>7.2</v>
      </c>
      <c r="C77" s="22" t="n">
        <v>1.312</v>
      </c>
      <c r="D77" s="22" t="n">
        <v>0.0321</v>
      </c>
    </row>
    <row r="78">
      <c r="A78" s="24">
        <f>10000/B78</f>
        <v/>
      </c>
      <c r="B78" s="9" t="n">
        <v>7.1</v>
      </c>
      <c r="C78" s="22" t="n">
        <v>1.314</v>
      </c>
      <c r="D78" s="22" t="n">
        <v>0.032</v>
      </c>
    </row>
    <row r="79">
      <c r="A79" s="24">
        <f>10000/B79</f>
        <v/>
      </c>
      <c r="B79" s="9" t="n">
        <v>7</v>
      </c>
      <c r="C79" s="22" t="n">
        <v>1.317</v>
      </c>
      <c r="D79" s="22" t="n">
        <v>0.032</v>
      </c>
    </row>
    <row r="80">
      <c r="A80" s="24">
        <f>10000/B80</f>
        <v/>
      </c>
      <c r="B80" s="9" t="n">
        <v>6.9</v>
      </c>
      <c r="C80" s="22" t="n">
        <v>1.321</v>
      </c>
      <c r="D80" s="22" t="n">
        <v>0.0322</v>
      </c>
    </row>
    <row r="81">
      <c r="A81" s="24">
        <f>10000/B81</f>
        <v/>
      </c>
      <c r="B81" s="9" t="n">
        <v>6.8</v>
      </c>
      <c r="C81" s="22" t="n">
        <v>1.324</v>
      </c>
      <c r="D81" s="22" t="n">
        <v>0.0327</v>
      </c>
    </row>
    <row r="82">
      <c r="A82" s="24">
        <f>10000/B82</f>
        <v/>
      </c>
      <c r="B82" s="9" t="n">
        <v>6.7</v>
      </c>
      <c r="C82" s="22" t="n">
        <v>1.329</v>
      </c>
      <c r="D82" s="22" t="n">
        <v>0.0337</v>
      </c>
    </row>
    <row r="83">
      <c r="A83" s="24">
        <f>10000/B83</f>
        <v/>
      </c>
      <c r="B83" s="9" t="n">
        <v>6.6</v>
      </c>
      <c r="C83" s="22" t="n">
        <v>1.334</v>
      </c>
      <c r="D83" s="22" t="n">
        <v>0.0356</v>
      </c>
    </row>
    <row r="84">
      <c r="A84" s="24">
        <f>10000/B84</f>
        <v/>
      </c>
      <c r="B84" s="9" t="n">
        <v>6.5</v>
      </c>
      <c r="C84" s="22" t="n">
        <v>1.339</v>
      </c>
      <c r="D84" s="22" t="n">
        <v>0.0392</v>
      </c>
    </row>
    <row r="85">
      <c r="A85" s="24">
        <f>10000/B85</f>
        <v/>
      </c>
      <c r="B85" s="9" t="n">
        <v>6.4</v>
      </c>
      <c r="C85" s="22" t="n">
        <v>1.347</v>
      </c>
      <c r="D85" s="22" t="n">
        <v>0.0449</v>
      </c>
    </row>
    <row r="86">
      <c r="A86" s="24">
        <f>10000/B86</f>
        <v/>
      </c>
      <c r="B86" s="9" t="n">
        <v>6.3</v>
      </c>
      <c r="C86" s="22" t="n">
        <v>1.357</v>
      </c>
      <c r="D86" s="22" t="n">
        <v>0.057</v>
      </c>
    </row>
    <row r="87">
      <c r="A87" s="24">
        <f>10000/B87</f>
        <v/>
      </c>
      <c r="B87" s="9" t="n">
        <v>6.2</v>
      </c>
      <c r="C87" s="22" t="n">
        <v>1.363</v>
      </c>
      <c r="D87" s="22" t="n">
        <v>0.08799999999999999</v>
      </c>
    </row>
    <row r="88">
      <c r="A88" s="24">
        <f>10000/B88</f>
        <v/>
      </c>
      <c r="B88" s="9" t="n">
        <v>6.1</v>
      </c>
      <c r="C88" s="22" t="n">
        <v>1.319</v>
      </c>
      <c r="D88" s="22" t="n">
        <v>0.131</v>
      </c>
    </row>
    <row r="89">
      <c r="A89" s="24">
        <f>10000/B89</f>
        <v/>
      </c>
      <c r="B89" s="9" t="n">
        <v>6</v>
      </c>
      <c r="C89" s="22" t="n">
        <v>1.265</v>
      </c>
      <c r="D89" s="22" t="n">
        <v>0.107</v>
      </c>
    </row>
    <row r="90">
      <c r="A90" s="24">
        <f>10000/B90</f>
        <v/>
      </c>
      <c r="B90" s="9" t="n">
        <v>5.9</v>
      </c>
      <c r="C90" s="22" t="n">
        <v>1.248</v>
      </c>
      <c r="D90" s="22" t="n">
        <v>0.0622</v>
      </c>
    </row>
    <row r="91">
      <c r="A91" s="24">
        <f>10000/B91</f>
        <v/>
      </c>
      <c r="B91" s="9" t="n">
        <v>5.8</v>
      </c>
      <c r="C91" s="22" t="n">
        <v>1.262</v>
      </c>
      <c r="D91" s="22" t="n">
        <v>0.033</v>
      </c>
    </row>
    <row r="92">
      <c r="A92" s="24">
        <f>10000/B92</f>
        <v/>
      </c>
      <c r="B92" s="9" t="n">
        <v>5.7</v>
      </c>
      <c r="C92" s="22" t="n">
        <v>1.277</v>
      </c>
      <c r="D92" s="22" t="n">
        <v>0.0203</v>
      </c>
    </row>
    <row r="93">
      <c r="A93" s="24">
        <f>10000/B93</f>
        <v/>
      </c>
      <c r="B93" s="9" t="n">
        <v>5.6</v>
      </c>
      <c r="C93" s="22" t="n">
        <v>1.289</v>
      </c>
      <c r="D93" s="22" t="n">
        <v>0.0142</v>
      </c>
    </row>
    <row r="94">
      <c r="A94" s="24">
        <f>10000/B94</f>
        <v/>
      </c>
      <c r="B94" s="9" t="n">
        <v>5.5</v>
      </c>
      <c r="C94" s="22" t="n">
        <v>1.298</v>
      </c>
      <c r="D94" s="22" t="n">
        <v>0.0116</v>
      </c>
    </row>
    <row r="95">
      <c r="A95" s="24">
        <f>10000/B95</f>
        <v/>
      </c>
      <c r="B95" s="9" t="n">
        <v>5.4</v>
      </c>
      <c r="C95" s="22" t="n">
        <v>1.305</v>
      </c>
      <c r="D95" s="22" t="n">
        <v>0.0103</v>
      </c>
    </row>
    <row r="96">
      <c r="A96" s="24">
        <f>10000/B96</f>
        <v/>
      </c>
      <c r="B96" s="9" t="n">
        <v>5.3</v>
      </c>
      <c r="C96" s="22" t="n">
        <v>1.312</v>
      </c>
      <c r="D96" s="22" t="n">
        <v>0.0098</v>
      </c>
    </row>
    <row r="97">
      <c r="A97" s="24">
        <f>10000/B97</f>
        <v/>
      </c>
      <c r="B97" s="9" t="n">
        <v>5.2</v>
      </c>
      <c r="C97" s="22" t="n">
        <v>1.317</v>
      </c>
      <c r="D97" s="22" t="n">
        <v>0.0101</v>
      </c>
    </row>
    <row r="98">
      <c r="A98" s="24">
        <f>10000/B98</f>
        <v/>
      </c>
      <c r="B98" s="9" t="n">
        <v>5.1</v>
      </c>
      <c r="C98" s="22" t="n">
        <v>1.322</v>
      </c>
      <c r="D98" s="22" t="n">
        <v>0.0111</v>
      </c>
    </row>
    <row r="99">
      <c r="A99" s="24">
        <f>10000/B99</f>
        <v/>
      </c>
      <c r="B99" s="9" t="n">
        <v>5</v>
      </c>
      <c r="C99" s="22" t="n">
        <v>1.325</v>
      </c>
      <c r="D99" s="22" t="n">
        <v>0.0124</v>
      </c>
    </row>
    <row r="100">
      <c r="A100" s="24">
        <f>10000/B100</f>
        <v/>
      </c>
      <c r="B100" s="9" t="n">
        <v>4.9</v>
      </c>
      <c r="C100" s="22" t="n">
        <v>1.328</v>
      </c>
      <c r="D100" s="22" t="n">
        <v>0.0137</v>
      </c>
    </row>
    <row r="101">
      <c r="A101" s="24">
        <f>10000/B101</f>
        <v/>
      </c>
      <c r="B101" s="9" t="n">
        <v>4.8</v>
      </c>
      <c r="C101" s="22" t="n">
        <v>1.33</v>
      </c>
      <c r="D101" s="22" t="n">
        <v>0.015</v>
      </c>
    </row>
    <row r="102">
      <c r="A102" s="24">
        <f>10000/B102</f>
        <v/>
      </c>
      <c r="B102" s="9" t="n">
        <v>4.7</v>
      </c>
      <c r="C102" s="22" t="n">
        <v>1.33</v>
      </c>
      <c r="D102" s="22" t="n">
        <v>0.0157</v>
      </c>
    </row>
    <row r="103">
      <c r="A103" s="24">
        <f>10000/B103</f>
        <v/>
      </c>
      <c r="B103" s="9" t="n">
        <v>4.6</v>
      </c>
      <c r="C103" s="22" t="n">
        <v>1.33</v>
      </c>
      <c r="D103" s="22" t="n">
        <v>0.0147</v>
      </c>
    </row>
    <row r="104">
      <c r="A104" s="24">
        <f>10000/B104</f>
        <v/>
      </c>
      <c r="B104" s="9" t="n">
        <v>4.5</v>
      </c>
      <c r="C104" s="22" t="n">
        <v>1.332</v>
      </c>
      <c r="D104" s="22" t="n">
        <v>0.0134</v>
      </c>
    </row>
    <row r="105">
      <c r="A105" s="24">
        <f>10000/B105</f>
        <v/>
      </c>
      <c r="B105" s="9" t="n">
        <v>4.4</v>
      </c>
      <c r="C105" s="22" t="n">
        <v>1.334</v>
      </c>
      <c r="D105" s="22" t="n">
        <v>0.0103</v>
      </c>
    </row>
    <row r="106">
      <c r="A106" s="24">
        <f>10000/B106</f>
        <v/>
      </c>
      <c r="B106" s="9" t="n">
        <v>4.3</v>
      </c>
      <c r="C106" s="22" t="n">
        <v>1.338</v>
      </c>
      <c r="D106" s="22" t="n">
        <v>0.008449999999999999</v>
      </c>
    </row>
    <row r="107">
      <c r="A107" s="24">
        <f>10000/B107</f>
        <v/>
      </c>
      <c r="B107" s="9" t="n">
        <v>4.2</v>
      </c>
      <c r="C107" s="22" t="n">
        <v>1.342</v>
      </c>
      <c r="D107" s="22" t="n">
        <v>0.00688</v>
      </c>
    </row>
    <row r="108">
      <c r="A108" s="24">
        <f>10000/B108</f>
        <v/>
      </c>
      <c r="B108" s="9" t="n">
        <v>4.1</v>
      </c>
      <c r="C108" s="22" t="n">
        <v>1.346</v>
      </c>
      <c r="D108" s="22" t="n">
        <v>0.00562</v>
      </c>
    </row>
    <row r="109">
      <c r="A109" s="24">
        <f>10000/B109</f>
        <v/>
      </c>
      <c r="B109" s="9" t="n">
        <v>4</v>
      </c>
      <c r="C109" s="22" t="n">
        <v>1.351</v>
      </c>
      <c r="D109" s="22" t="n">
        <v>0.0046</v>
      </c>
    </row>
    <row r="110">
      <c r="A110" s="24">
        <f>10000/B110</f>
        <v/>
      </c>
      <c r="B110" s="9" t="n">
        <v>3.9</v>
      </c>
      <c r="C110" s="22" t="n">
        <v>1.357</v>
      </c>
      <c r="D110" s="22" t="n">
        <v>0.0038</v>
      </c>
    </row>
    <row r="111">
      <c r="A111" s="24">
        <f>10000/B111</f>
        <v/>
      </c>
      <c r="B111" s="9" t="n">
        <v>3.8</v>
      </c>
      <c r="C111" s="22" t="n">
        <v>1.364</v>
      </c>
      <c r="D111" s="22" t="n">
        <v>0.0034</v>
      </c>
    </row>
    <row r="112">
      <c r="A112" s="24">
        <f>10000/B112</f>
        <v/>
      </c>
      <c r="B112" s="9" t="n">
        <v>3.7</v>
      </c>
      <c r="C112" s="22" t="n">
        <v>1.374</v>
      </c>
      <c r="D112" s="22" t="n">
        <v>0.0036</v>
      </c>
    </row>
    <row r="113">
      <c r="A113" s="24">
        <f>10000/B113</f>
        <v/>
      </c>
      <c r="B113" s="9" t="n">
        <v>3.6</v>
      </c>
      <c r="C113" s="22" t="n">
        <v>1.385</v>
      </c>
      <c r="D113" s="22" t="n">
        <v>0.00515</v>
      </c>
    </row>
    <row r="114">
      <c r="A114" s="24">
        <f>10000/B114</f>
        <v/>
      </c>
      <c r="B114" s="9" t="n">
        <v>3.5</v>
      </c>
      <c r="C114" s="22" t="n">
        <v>1.4</v>
      </c>
      <c r="D114" s="22" t="n">
        <v>0.0094</v>
      </c>
    </row>
    <row r="115">
      <c r="A115" s="24">
        <f>10000/B115</f>
        <v/>
      </c>
      <c r="B115" s="9" t="n">
        <v>3.45</v>
      </c>
      <c r="C115" s="22" t="n">
        <v>1.41</v>
      </c>
      <c r="D115" s="22" t="n">
        <v>0.0132</v>
      </c>
    </row>
    <row r="116">
      <c r="A116" s="24">
        <f>10000/B116</f>
        <v/>
      </c>
      <c r="B116" s="9" t="n">
        <v>3.4</v>
      </c>
      <c r="C116" s="22" t="n">
        <v>1.42</v>
      </c>
      <c r="D116" s="22" t="n">
        <v>0.0195</v>
      </c>
    </row>
    <row r="117">
      <c r="A117" s="24">
        <f>10000/B117</f>
        <v/>
      </c>
      <c r="B117" s="9" t="n">
        <v>3.35</v>
      </c>
      <c r="C117" s="22" t="n">
        <v>1.432</v>
      </c>
      <c r="D117" s="22" t="n">
        <v>0.0261</v>
      </c>
    </row>
    <row r="118">
      <c r="A118" s="24">
        <f>10000/B118</f>
        <v/>
      </c>
      <c r="B118" s="9" t="n">
        <v>3.3</v>
      </c>
      <c r="C118" s="22" t="n">
        <v>1.45</v>
      </c>
      <c r="D118" s="22" t="n">
        <v>0.0368</v>
      </c>
    </row>
    <row r="119">
      <c r="A119" s="24">
        <f>10000/B119</f>
        <v/>
      </c>
      <c r="B119" s="9" t="n">
        <v>3.25</v>
      </c>
      <c r="C119" s="22" t="n">
        <v>1.467</v>
      </c>
      <c r="D119" s="22" t="n">
        <v>0.061</v>
      </c>
    </row>
    <row r="120">
      <c r="A120" s="24">
        <f>10000/B120</f>
        <v/>
      </c>
      <c r="B120" s="9" t="n">
        <v>3.2</v>
      </c>
      <c r="C120" s="22" t="n">
        <v>1.478</v>
      </c>
      <c r="D120" s="22" t="n">
        <v>0.0924</v>
      </c>
    </row>
    <row r="121">
      <c r="A121" s="24">
        <f>10000/B121</f>
        <v/>
      </c>
      <c r="B121" s="9" t="n">
        <v>3.15</v>
      </c>
      <c r="C121" s="22" t="n">
        <v>1.483</v>
      </c>
      <c r="D121" s="22" t="n">
        <v>0.135</v>
      </c>
    </row>
    <row r="122">
      <c r="A122" s="24">
        <f>10000/B122</f>
        <v/>
      </c>
      <c r="B122" s="9" t="n">
        <v>3.1</v>
      </c>
      <c r="C122" s="22" t="n">
        <v>1.467</v>
      </c>
      <c r="D122" s="22" t="n">
        <v>0.192</v>
      </c>
    </row>
    <row r="123">
      <c r="A123" s="24">
        <f>10000/B123</f>
        <v/>
      </c>
      <c r="B123" s="9" t="n">
        <v>3.05</v>
      </c>
      <c r="C123" s="22" t="n">
        <v>1.426</v>
      </c>
      <c r="D123" s="22" t="n">
        <v>0.24</v>
      </c>
    </row>
    <row r="124">
      <c r="A124" s="24">
        <f>10000/B124</f>
        <v/>
      </c>
      <c r="B124" s="9" t="n">
        <v>3</v>
      </c>
      <c r="C124" s="22" t="n">
        <v>1.371</v>
      </c>
      <c r="D124" s="22" t="n">
        <v>0.272</v>
      </c>
    </row>
    <row r="125">
      <c r="A125" s="24">
        <f>10000/B125</f>
        <v/>
      </c>
      <c r="B125" s="9" t="n">
        <v>2.95</v>
      </c>
      <c r="C125" s="22" t="n">
        <v>1.292</v>
      </c>
      <c r="D125" s="22" t="n">
        <v>0.298</v>
      </c>
    </row>
    <row r="126">
      <c r="A126" s="24">
        <f>10000/B126</f>
        <v/>
      </c>
      <c r="B126" s="9" t="n">
        <v>2.9</v>
      </c>
      <c r="C126" s="22" t="n">
        <v>1.201</v>
      </c>
      <c r="D126" s="22" t="n">
        <v>0.268</v>
      </c>
    </row>
    <row r="127">
      <c r="A127" s="24">
        <f>10000/B127</f>
        <v/>
      </c>
      <c r="B127" s="9" t="n">
        <v>2.85</v>
      </c>
      <c r="C127" s="22" t="n">
        <v>1.149</v>
      </c>
      <c r="D127" s="22" t="n">
        <v>0.185</v>
      </c>
    </row>
    <row r="128">
      <c r="A128" s="24">
        <f>10000/B128</f>
        <v/>
      </c>
      <c r="B128" s="9" t="n">
        <v>2.8</v>
      </c>
      <c r="C128" s="22" t="n">
        <v>1.142</v>
      </c>
      <c r="D128" s="22" t="n">
        <v>0.115</v>
      </c>
    </row>
    <row r="129">
      <c r="A129" s="24">
        <f>10000/B129</f>
        <v/>
      </c>
      <c r="B129" s="9" t="n">
        <v>2.75</v>
      </c>
      <c r="C129" s="22" t="n">
        <v>1.157</v>
      </c>
      <c r="D129" s="22" t="n">
        <v>0.059</v>
      </c>
    </row>
    <row r="130">
      <c r="A130" s="24">
        <f>10000/B130</f>
        <v/>
      </c>
      <c r="B130" s="9" t="n">
        <v>2.7</v>
      </c>
      <c r="C130" s="22" t="n">
        <v>1.188</v>
      </c>
      <c r="D130" s="22" t="n">
        <v>0.019</v>
      </c>
    </row>
    <row r="131">
      <c r="A131" s="24">
        <f>10000/B131</f>
        <v/>
      </c>
      <c r="B131" s="9" t="n">
        <v>2.65</v>
      </c>
      <c r="C131" s="22" t="n">
        <v>1.219</v>
      </c>
      <c r="D131" s="22" t="n">
        <v>0.0067</v>
      </c>
    </row>
    <row r="132">
      <c r="A132" s="24">
        <f>10000/B132</f>
        <v/>
      </c>
      <c r="B132" s="9" t="n">
        <v>2.6</v>
      </c>
      <c r="C132" s="22" t="n">
        <v>1.242</v>
      </c>
      <c r="D132" s="22" t="n">
        <v>0.00317</v>
      </c>
    </row>
    <row r="133">
      <c r="A133" s="24">
        <f>10000/B133</f>
        <v/>
      </c>
      <c r="B133" s="9" t="n">
        <v>2.4</v>
      </c>
      <c r="C133" s="22" t="n">
        <v>1.279</v>
      </c>
      <c r="D133" s="22" t="n">
        <v>0.000956</v>
      </c>
    </row>
    <row r="134">
      <c r="A134" s="24">
        <f>10000/B134</f>
        <v/>
      </c>
      <c r="B134" s="9" t="n">
        <v>2.2</v>
      </c>
      <c r="C134" s="22" t="n">
        <v>1.296</v>
      </c>
      <c r="D134" s="22" t="n">
        <v>0.000289</v>
      </c>
    </row>
    <row r="135">
      <c r="A135" s="24">
        <f>10000/B135</f>
        <v/>
      </c>
      <c r="B135" s="9" t="n">
        <v>2</v>
      </c>
      <c r="C135" s="22" t="n">
        <v>1.306</v>
      </c>
      <c r="D135" s="22" t="n">
        <v>0.0011</v>
      </c>
    </row>
    <row r="136">
      <c r="A136" s="24">
        <f>10000/B136</f>
        <v/>
      </c>
      <c r="B136" s="9" t="n">
        <v>1.8</v>
      </c>
      <c r="C136" s="22" t="n">
        <v>1.312</v>
      </c>
      <c r="D136" s="22" t="n">
        <v>0.000115</v>
      </c>
    </row>
    <row r="137">
      <c r="A137" s="24">
        <f>10000/B137</f>
        <v/>
      </c>
      <c r="B137" s="9" t="n">
        <v>1.6</v>
      </c>
      <c r="C137" s="22" t="n">
        <v>1.317</v>
      </c>
      <c r="D137" s="22" t="n">
        <v>8.55e-05</v>
      </c>
    </row>
    <row r="138">
      <c r="A138" s="24">
        <f>10000/B138</f>
        <v/>
      </c>
      <c r="B138" s="9" t="n">
        <v>1.4</v>
      </c>
      <c r="C138" s="22" t="n">
        <v>1.321</v>
      </c>
      <c r="D138" s="22" t="n">
        <v>0.000138</v>
      </c>
    </row>
    <row r="139">
      <c r="A139" s="24">
        <f>10000/B139</f>
        <v/>
      </c>
      <c r="B139" s="9" t="n">
        <v>1.2</v>
      </c>
      <c r="C139" s="22" t="n">
        <v>1.324</v>
      </c>
      <c r="D139" s="22" t="n">
        <v>9.89e-06</v>
      </c>
    </row>
    <row r="140">
      <c r="A140" s="24">
        <f>10000/B140</f>
        <v/>
      </c>
      <c r="B140" s="9" t="n">
        <v>1</v>
      </c>
      <c r="C140" s="22" t="n">
        <v>1.327</v>
      </c>
      <c r="D140" s="22" t="n">
        <v>2.89e-06</v>
      </c>
    </row>
    <row r="141">
      <c r="A141" s="24">
        <f>10000/B141</f>
        <v/>
      </c>
      <c r="B141" s="9" t="n">
        <v>0.975</v>
      </c>
      <c r="C141" s="22" t="n">
        <v>1.327</v>
      </c>
      <c r="D141" s="22" t="n">
        <v>3.48e-06</v>
      </c>
    </row>
    <row r="142">
      <c r="A142" s="24">
        <f>10000/B142</f>
        <v/>
      </c>
      <c r="B142" s="9" t="n">
        <v>0.95</v>
      </c>
      <c r="C142" s="22" t="n">
        <v>1.327</v>
      </c>
      <c r="D142" s="22" t="n">
        <v>2.93e-06</v>
      </c>
    </row>
    <row r="143">
      <c r="A143" s="24">
        <f>10000/B143</f>
        <v/>
      </c>
      <c r="B143" s="9" t="n">
        <v>0.925</v>
      </c>
      <c r="C143" s="22" t="n">
        <v>1.328</v>
      </c>
      <c r="D143" s="22" t="n">
        <v>1.06e-06</v>
      </c>
    </row>
    <row r="144">
      <c r="A144" s="24">
        <f>10000/B144</f>
        <v/>
      </c>
      <c r="B144" s="9" t="n">
        <v>0.9</v>
      </c>
      <c r="C144" s="22" t="n">
        <v>1.328</v>
      </c>
      <c r="D144" s="22" t="n">
        <v>4.86e-07</v>
      </c>
    </row>
    <row r="145">
      <c r="A145" s="24">
        <f>10000/B145</f>
        <v/>
      </c>
      <c r="B145" s="9" t="n">
        <v>0.875</v>
      </c>
      <c r="C145" s="22" t="n">
        <v>1.328</v>
      </c>
      <c r="D145" s="22" t="n">
        <v>3.91e-07</v>
      </c>
    </row>
    <row r="146">
      <c r="A146" s="24">
        <f>10000/B146</f>
        <v/>
      </c>
      <c r="B146" s="9" t="n">
        <v>0.85</v>
      </c>
      <c r="C146" s="22" t="n">
        <v>1.329</v>
      </c>
      <c r="D146" s="22" t="n">
        <v>2.93e-07</v>
      </c>
    </row>
    <row r="147">
      <c r="A147" s="24">
        <f>10000/B147</f>
        <v/>
      </c>
      <c r="B147" s="9" t="n">
        <v>0.825</v>
      </c>
      <c r="C147" s="22" t="n">
        <v>1.329</v>
      </c>
      <c r="D147" s="22" t="n">
        <v>1.82e-07</v>
      </c>
    </row>
    <row r="148">
      <c r="A148" s="24">
        <f>10000/B148</f>
        <v/>
      </c>
      <c r="B148" s="9" t="n">
        <v>0.8</v>
      </c>
      <c r="C148" s="22" t="n">
        <v>1.329</v>
      </c>
      <c r="D148" s="22" t="n">
        <v>1.25e-07</v>
      </c>
    </row>
    <row r="149">
      <c r="A149" s="24">
        <f>10000/B149</f>
        <v/>
      </c>
      <c r="B149" s="9" t="n">
        <v>0.775</v>
      </c>
      <c r="C149" s="22" t="n">
        <v>1.33</v>
      </c>
      <c r="D149" s="22" t="n">
        <v>1.48e-07</v>
      </c>
    </row>
    <row r="150">
      <c r="A150" s="24">
        <f>10000/B150</f>
        <v/>
      </c>
      <c r="B150" s="9" t="n">
        <v>0.75</v>
      </c>
      <c r="C150" s="22" t="n">
        <v>1.33</v>
      </c>
      <c r="D150" s="22" t="n">
        <v>1.56e-07</v>
      </c>
    </row>
    <row r="151">
      <c r="A151" s="24">
        <f>10000/B151</f>
        <v/>
      </c>
      <c r="B151" s="9" t="n">
        <v>0.725</v>
      </c>
      <c r="C151" s="22" t="n">
        <v>1.33</v>
      </c>
      <c r="D151" s="22" t="n">
        <v>9.150000000000001e-08</v>
      </c>
    </row>
    <row r="152">
      <c r="A152" s="24">
        <f>10000/B152</f>
        <v/>
      </c>
      <c r="B152" s="9" t="n">
        <v>0.7</v>
      </c>
      <c r="C152" s="22" t="n">
        <v>1.331</v>
      </c>
      <c r="D152" s="22" t="n">
        <v>3.35e-08</v>
      </c>
    </row>
    <row r="153">
      <c r="A153" s="24">
        <f>10000/B153</f>
        <v/>
      </c>
      <c r="B153" s="9" t="n">
        <v>0.675</v>
      </c>
      <c r="C153" s="22" t="n">
        <v>1.331</v>
      </c>
      <c r="D153" s="22" t="n">
        <v>2.23e-08</v>
      </c>
    </row>
    <row r="154">
      <c r="A154" s="24">
        <f>10000/B154</f>
        <v/>
      </c>
      <c r="B154" s="9" t="n">
        <v>0.65</v>
      </c>
      <c r="C154" s="22" t="n">
        <v>1.331</v>
      </c>
      <c r="D154" s="22" t="n">
        <v>1.64e-08</v>
      </c>
    </row>
    <row r="155">
      <c r="A155" s="24">
        <f>10000/B155</f>
        <v/>
      </c>
      <c r="B155" s="9" t="n">
        <v>0.625</v>
      </c>
      <c r="C155" s="22" t="n">
        <v>1.332</v>
      </c>
      <c r="D155" s="22" t="n">
        <v>1.39e-08</v>
      </c>
    </row>
    <row r="156">
      <c r="A156" s="24">
        <f>10000/B156</f>
        <v/>
      </c>
      <c r="B156" s="9" t="n">
        <v>0.6</v>
      </c>
      <c r="C156" s="22" t="n">
        <v>1.332</v>
      </c>
      <c r="D156" s="22" t="n">
        <v>1.09e-08</v>
      </c>
    </row>
    <row r="157">
      <c r="A157" s="24">
        <f>10000/B157</f>
        <v/>
      </c>
      <c r="B157" s="9" t="n">
        <v>0.575</v>
      </c>
      <c r="C157" s="22" t="n">
        <v>1.333</v>
      </c>
      <c r="D157" s="22" t="n">
        <v>3.6e-09</v>
      </c>
    </row>
    <row r="158">
      <c r="A158" s="24">
        <f>10000/B158</f>
        <v/>
      </c>
      <c r="B158" s="9" t="n">
        <v>0.55</v>
      </c>
      <c r="C158" s="22" t="n">
        <v>1.333</v>
      </c>
      <c r="D158" s="22" t="n">
        <v>1.96e-09</v>
      </c>
    </row>
    <row r="159">
      <c r="A159" s="24">
        <f>10000/B159</f>
        <v/>
      </c>
      <c r="B159" s="9" t="n">
        <v>0.525</v>
      </c>
      <c r="C159" s="22" t="n">
        <v>1.334</v>
      </c>
      <c r="D159" s="22" t="n">
        <v>1.32e-09</v>
      </c>
    </row>
    <row r="160">
      <c r="A160" s="24">
        <f>10000/B160</f>
        <v/>
      </c>
      <c r="B160" s="9" t="n">
        <v>0.5</v>
      </c>
      <c r="C160" s="22" t="n">
        <v>1.335</v>
      </c>
      <c r="D160" s="22" t="n">
        <v>1e-09</v>
      </c>
    </row>
    <row r="161">
      <c r="A161" s="24">
        <f>10000/B161</f>
        <v/>
      </c>
      <c r="B161" s="9" t="n">
        <v>0.475</v>
      </c>
      <c r="C161" s="22" t="n">
        <v>1.336</v>
      </c>
      <c r="D161" s="22" t="n">
        <v>9.35e-10</v>
      </c>
    </row>
    <row r="162">
      <c r="A162" s="24">
        <f>10000/B162</f>
        <v/>
      </c>
      <c r="B162" s="9" t="n">
        <v>0.45</v>
      </c>
      <c r="C162" s="22" t="n">
        <v>1.337</v>
      </c>
      <c r="D162" s="22" t="n">
        <v>1.02e-09</v>
      </c>
    </row>
    <row r="163">
      <c r="A163" s="24">
        <f>10000/B163</f>
        <v/>
      </c>
      <c r="B163" s="9" t="n">
        <v>0.425</v>
      </c>
      <c r="C163" s="22" t="n">
        <v>1.338</v>
      </c>
      <c r="D163" s="22" t="n">
        <v>1.3e-09</v>
      </c>
    </row>
    <row r="164">
      <c r="A164" s="24">
        <f>10000/B164</f>
        <v/>
      </c>
      <c r="B164" s="9" t="n">
        <v>0.4</v>
      </c>
      <c r="C164" s="22" t="n">
        <v>1.339</v>
      </c>
      <c r="D164" s="22" t="n">
        <v>1.86e-09</v>
      </c>
    </row>
    <row r="165">
      <c r="A165" s="24">
        <f>10000/B165</f>
        <v/>
      </c>
      <c r="B165" s="9" t="n">
        <v>0.375</v>
      </c>
      <c r="C165" s="22" t="n">
        <v>1.341</v>
      </c>
      <c r="D165" s="22" t="n">
        <v>3.5e-09</v>
      </c>
    </row>
    <row r="166">
      <c r="A166" s="24">
        <f>10000/B166</f>
        <v/>
      </c>
      <c r="B166" s="9" t="n">
        <v>0.35</v>
      </c>
      <c r="C166" s="22" t="n">
        <v>1.343</v>
      </c>
      <c r="D166" s="22" t="n">
        <v>6.5e-09</v>
      </c>
    </row>
    <row r="167">
      <c r="A167" s="24">
        <f>10000/B167</f>
        <v/>
      </c>
      <c r="B167" s="9" t="n">
        <v>0.325</v>
      </c>
      <c r="C167" s="22" t="n">
        <v>1.346</v>
      </c>
      <c r="D167" s="22" t="n">
        <v>1.08e-08</v>
      </c>
    </row>
    <row r="168">
      <c r="A168" s="24">
        <f>10000/B168</f>
        <v/>
      </c>
      <c r="B168" s="9" t="n">
        <v>0.3</v>
      </c>
      <c r="C168" s="22" t="n">
        <v>1.349</v>
      </c>
      <c r="D168" s="22" t="n">
        <v>1.6e-08</v>
      </c>
    </row>
    <row r="169">
      <c r="A169" s="24">
        <f>10000/B169</f>
        <v/>
      </c>
      <c r="B169" s="9" t="n">
        <v>0.275</v>
      </c>
      <c r="C169" s="22" t="n">
        <v>1.354</v>
      </c>
      <c r="D169" s="22" t="n">
        <v>2.35e-08</v>
      </c>
    </row>
    <row r="170">
      <c r="A170" s="24">
        <f>10000/B170</f>
        <v/>
      </c>
      <c r="B170" s="9" t="n">
        <v>0.25</v>
      </c>
      <c r="C170" s="22" t="n">
        <v>1.362</v>
      </c>
      <c r="D170" s="22" t="n">
        <v>3.35e-08</v>
      </c>
    </row>
    <row r="171">
      <c r="A171" s="24">
        <f>10000/B171</f>
        <v/>
      </c>
      <c r="B171" s="9" t="n">
        <v>0.225</v>
      </c>
      <c r="C171" s="22" t="n">
        <v>1.373</v>
      </c>
      <c r="D171" s="22" t="n">
        <v>4.9e-08</v>
      </c>
    </row>
    <row r="172">
      <c r="A172" s="24">
        <f>10000/B172</f>
        <v/>
      </c>
      <c r="B172" s="9" t="n">
        <v>0.2</v>
      </c>
      <c r="C172" s="22" t="n">
        <v>1.396</v>
      </c>
      <c r="D172" s="22" t="n">
        <v>1.1e-07</v>
      </c>
    </row>
  </sheetData>
  <pageMargins left="0.7" right="0.7" top="0.75" bottom="0.75" header="0.3" footer="0.3"/>
  <pageSetup orientation="portrait" paperSize="9" cellComments="asDisplayed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selection activeCell="X23" sqref="X23"/>
    </sheetView>
  </sheetViews>
  <sheetFormatPr baseColWidth="8" defaultColWidth="2.42578125" defaultRowHeight="15"/>
  <cols>
    <col width="13.7109375" bestFit="1" customWidth="1" style="13" min="1" max="1"/>
    <col width="9.5703125" bestFit="1" customWidth="1" style="13" min="2" max="2"/>
    <col width="12" bestFit="1" customWidth="1" style="13" min="3" max="4"/>
    <col width="17.42578125" bestFit="1" customWidth="1" style="13" min="5" max="5"/>
    <col width="2.42578125" customWidth="1" style="13" min="6" max="6"/>
    <col width="10.140625" customWidth="1" style="13" min="7" max="7"/>
    <col width="14.140625" customWidth="1" style="13" min="8" max="8"/>
    <col width="2.42578125" customWidth="1" style="13" min="9" max="16384"/>
  </cols>
  <sheetData>
    <row r="1">
      <c r="A1" s="13" t="inlineStr">
        <is>
          <t>cm-1</t>
        </is>
      </c>
      <c r="B1" s="14" t="inlineStr">
        <is>
          <t>Microns</t>
        </is>
      </c>
      <c r="C1" s="14" t="inlineStr">
        <is>
          <t>n</t>
        </is>
      </c>
      <c r="D1" s="14" t="inlineStr">
        <is>
          <t>k</t>
        </is>
      </c>
      <c r="G1" s="13" t="inlineStr">
        <is>
          <t>Entry:</t>
        </is>
      </c>
      <c r="H1" s="13" t="inlineStr">
        <is>
          <t>Tabulated refractive index</t>
        </is>
      </c>
    </row>
    <row r="2">
      <c r="A2" s="13" t="n">
        <v>0</v>
      </c>
      <c r="C2" s="14">
        <f>C3+(C3-C4)/($A4-$A3)*($A3-$A2)</f>
        <v/>
      </c>
      <c r="D2" s="14">
        <f>D3+(D3-D4)/($A4-$A3)*($A3-$A2)</f>
        <v/>
      </c>
      <c r="E2" s="13" t="inlineStr">
        <is>
          <t>Extrapolated values</t>
        </is>
      </c>
      <c r="G2" s="13" t="inlineStr">
        <is>
          <t>Density:</t>
        </is>
      </c>
      <c r="H2" s="13" t="n">
        <v>1</v>
      </c>
    </row>
    <row r="3">
      <c r="A3" s="25">
        <f>10000/B3</f>
        <v/>
      </c>
      <c r="B3" s="26" t="n">
        <v>1733</v>
      </c>
      <c r="C3" s="26" t="n">
        <v>3.05</v>
      </c>
      <c r="D3" s="26" t="n">
        <v>1.393</v>
      </c>
      <c r="G3" s="13" t="inlineStr">
        <is>
          <t>Temperature</t>
        </is>
      </c>
      <c r="H3" s="13" t="n">
        <v>19</v>
      </c>
    </row>
    <row r="4">
      <c r="A4" s="25">
        <f>10000/B4</f>
        <v/>
      </c>
      <c r="B4" s="26" t="n">
        <v>1300</v>
      </c>
      <c r="C4" s="26" t="n">
        <v>2.7</v>
      </c>
      <c r="D4" s="26" t="n">
        <v>1.169</v>
      </c>
      <c r="G4" s="13" t="inlineStr">
        <is>
          <t>Low:</t>
        </is>
      </c>
      <c r="H4" s="13">
        <f>MIN(A2:A170)</f>
        <v/>
      </c>
    </row>
    <row r="5">
      <c r="A5" s="25">
        <f>10000/B5</f>
        <v/>
      </c>
      <c r="B5" s="26" t="n">
        <v>1041</v>
      </c>
      <c r="C5" s="26" t="n">
        <v>2.56</v>
      </c>
      <c r="D5" s="26" t="n">
        <v>1.06</v>
      </c>
      <c r="G5" s="13" t="inlineStr">
        <is>
          <t>High:</t>
        </is>
      </c>
      <c r="H5" s="13">
        <f>MAX(A2:A170)</f>
        <v/>
      </c>
    </row>
    <row r="6">
      <c r="A6" s="25">
        <f>10000/B6</f>
        <v/>
      </c>
      <c r="B6" s="26" t="n">
        <v>867.3</v>
      </c>
      <c r="C6" s="26" t="n">
        <v>2.47</v>
      </c>
      <c r="D6" s="26" t="n">
        <v>0.966</v>
      </c>
      <c r="G6" s="13" t="inlineStr">
        <is>
          <t>NPoints:</t>
        </is>
      </c>
      <c r="H6" s="13">
        <f>COUNT(A2:A170)</f>
        <v/>
      </c>
    </row>
    <row r="7">
      <c r="A7" s="25">
        <f>10000/B7</f>
        <v/>
      </c>
      <c r="B7" s="26" t="n">
        <v>650.2</v>
      </c>
      <c r="C7" s="26" t="n">
        <v>2.35</v>
      </c>
      <c r="D7" s="26" t="n">
        <v>0.792</v>
      </c>
      <c r="G7" s="13" t="inlineStr">
        <is>
          <t>Reference</t>
        </is>
      </c>
      <c r="H7" s="13" t="inlineStr">
        <is>
          <t>M. N. Afsar and J. B. Hasted. Measurements of the optical constants of liquid H2O and D2O between 6 and 450 cm-1 doi.org/10.1364/JOSA.67.000902 J. Opt. Soc. Am.67, 902-904 (1977)</t>
        </is>
      </c>
    </row>
    <row r="8">
      <c r="A8" s="25">
        <f>10000/B8</f>
        <v/>
      </c>
      <c r="B8" s="26" t="n">
        <v>520.3</v>
      </c>
      <c r="C8" s="26" t="n">
        <v>2.27</v>
      </c>
      <c r="D8" s="26" t="n">
        <v>0.712</v>
      </c>
    </row>
    <row r="9">
      <c r="A9" s="25">
        <f>10000/B9</f>
        <v/>
      </c>
      <c r="B9" s="26" t="n">
        <v>433.5</v>
      </c>
      <c r="C9" s="26" t="n">
        <v>2.22</v>
      </c>
      <c r="D9" s="26" t="n">
        <v>0.648</v>
      </c>
    </row>
    <row r="10">
      <c r="A10" s="25">
        <f>10000/B10</f>
        <v/>
      </c>
      <c r="B10" s="26" t="n">
        <v>347.2</v>
      </c>
      <c r="C10" s="26" t="n">
        <v>2.15</v>
      </c>
      <c r="D10" s="26" t="n">
        <v>0.586</v>
      </c>
    </row>
    <row r="11">
      <c r="A11" s="25">
        <f>10000/B11</f>
        <v/>
      </c>
      <c r="B11" s="26" t="n">
        <v>289</v>
      </c>
      <c r="C11" s="26" t="n">
        <v>2.09</v>
      </c>
      <c r="D11" s="26" t="n">
        <v>0.543</v>
      </c>
    </row>
    <row r="12">
      <c r="A12" s="25">
        <f>10000/B12</f>
        <v/>
      </c>
      <c r="B12" s="26" t="n">
        <v>247.5</v>
      </c>
      <c r="C12" s="26" t="n">
        <v>2.06</v>
      </c>
      <c r="D12" s="26" t="n">
        <v>0.512</v>
      </c>
    </row>
    <row r="13">
      <c r="A13" s="25">
        <f>10000/B13</f>
        <v/>
      </c>
      <c r="B13" s="26" t="n">
        <v>200</v>
      </c>
      <c r="C13" s="26" t="n">
        <v>2.03</v>
      </c>
      <c r="D13" s="26" t="n">
        <v>0.47</v>
      </c>
    </row>
    <row r="14">
      <c r="A14" s="25">
        <f>10000/B14</f>
        <v/>
      </c>
      <c r="B14" s="26" t="n">
        <v>166.7</v>
      </c>
      <c r="C14" s="26" t="n">
        <v>2</v>
      </c>
      <c r="D14" s="26" t="n">
        <v>0.438</v>
      </c>
    </row>
    <row r="15">
      <c r="A15" s="25">
        <f>10000/B15</f>
        <v/>
      </c>
      <c r="B15" s="26" t="n">
        <v>142.9</v>
      </c>
      <c r="C15" s="26" t="n">
        <v>1.97</v>
      </c>
      <c r="D15" s="26" t="n">
        <v>0.421</v>
      </c>
    </row>
    <row r="16">
      <c r="A16" s="25">
        <f>10000/B16</f>
        <v/>
      </c>
      <c r="B16" s="26" t="n">
        <v>125</v>
      </c>
      <c r="C16" s="26" t="n">
        <v>1.96</v>
      </c>
      <c r="D16" s="26" t="n">
        <v>0.418</v>
      </c>
    </row>
    <row r="17">
      <c r="A17" s="25">
        <f>10000/B17</f>
        <v/>
      </c>
      <c r="B17" s="26" t="n">
        <v>111.1</v>
      </c>
      <c r="C17" s="26" t="n">
        <v>1.94</v>
      </c>
      <c r="D17" s="26" t="n">
        <v>0.416</v>
      </c>
    </row>
    <row r="18">
      <c r="A18" s="25">
        <f>10000/B18</f>
        <v/>
      </c>
      <c r="B18" s="26" t="n">
        <v>100</v>
      </c>
      <c r="C18" s="26" t="n">
        <v>1.93</v>
      </c>
      <c r="D18" s="26" t="n">
        <v>0.438</v>
      </c>
    </row>
    <row r="19">
      <c r="A19" s="25">
        <f>10000/B19</f>
        <v/>
      </c>
      <c r="B19" s="26" t="n">
        <v>90.91</v>
      </c>
      <c r="C19" s="26" t="n">
        <v>1.91</v>
      </c>
      <c r="D19" s="26" t="n">
        <v>0.463</v>
      </c>
    </row>
    <row r="20">
      <c r="A20" s="25">
        <f>10000/B20</f>
        <v/>
      </c>
      <c r="B20" s="26" t="n">
        <v>76.92</v>
      </c>
      <c r="C20" s="26" t="n">
        <v>1.86</v>
      </c>
      <c r="D20" s="26" t="n">
        <v>0.506</v>
      </c>
    </row>
    <row r="21">
      <c r="A21" s="25">
        <f>10000/B21</f>
        <v/>
      </c>
      <c r="B21" s="26" t="n">
        <v>66.67</v>
      </c>
      <c r="C21" s="26" t="n">
        <v>1.81</v>
      </c>
      <c r="D21" s="26" t="n">
        <v>0.523</v>
      </c>
    </row>
    <row r="22">
      <c r="A22" s="25">
        <f>10000/B22</f>
        <v/>
      </c>
      <c r="B22" s="26" t="n">
        <v>58.82</v>
      </c>
      <c r="C22" s="26" t="n">
        <v>1.72</v>
      </c>
      <c r="D22" s="26" t="n">
        <v>0.527</v>
      </c>
    </row>
    <row r="23">
      <c r="A23" s="25">
        <f>10000/B23</f>
        <v/>
      </c>
      <c r="B23" s="26" t="n">
        <v>52.63</v>
      </c>
      <c r="C23" s="26" t="n">
        <v>1.64</v>
      </c>
      <c r="D23" s="26" t="n">
        <v>0.503</v>
      </c>
    </row>
    <row r="24">
      <c r="A24" s="25">
        <f>10000/B24</f>
        <v/>
      </c>
      <c r="B24" s="26" t="n">
        <v>47.62</v>
      </c>
      <c r="C24" s="26" t="n">
        <v>1.58</v>
      </c>
      <c r="D24" s="26" t="n">
        <v>0.455</v>
      </c>
    </row>
    <row r="25">
      <c r="A25" s="25">
        <f>10000/B25</f>
        <v/>
      </c>
      <c r="B25" s="26" t="n">
        <v>43.48</v>
      </c>
      <c r="C25" s="26" t="n">
        <v>1.54</v>
      </c>
      <c r="D25" s="26" t="n">
        <v>0.396</v>
      </c>
    </row>
    <row r="26">
      <c r="A26" s="25">
        <f>10000/B26</f>
        <v/>
      </c>
      <c r="B26" s="26" t="n">
        <v>40</v>
      </c>
      <c r="C26" s="26" t="n">
        <v>1.53</v>
      </c>
      <c r="D26" s="26" t="n">
        <v>0.344</v>
      </c>
    </row>
    <row r="27">
      <c r="A27" s="25">
        <f>10000/B27</f>
        <v/>
      </c>
      <c r="B27" s="26" t="n">
        <v>37.04</v>
      </c>
      <c r="C27" s="26" t="n">
        <v>1.53</v>
      </c>
      <c r="D27" s="26" t="n">
        <v>0.307</v>
      </c>
    </row>
    <row r="28">
      <c r="A28" s="25">
        <f>10000/B28</f>
        <v/>
      </c>
      <c r="B28" s="26" t="n">
        <v>34.48</v>
      </c>
      <c r="C28" s="26" t="n">
        <v>1.54</v>
      </c>
      <c r="D28" s="26" t="n">
        <v>0.288</v>
      </c>
    </row>
    <row r="29">
      <c r="A29" s="25">
        <f>10000/B29</f>
        <v/>
      </c>
      <c r="B29" s="26" t="n">
        <v>32.26</v>
      </c>
      <c r="C29" s="26" t="n">
        <v>1.56</v>
      </c>
      <c r="D29" s="26" t="n">
        <v>0.28</v>
      </c>
    </row>
    <row r="30">
      <c r="A30" s="25">
        <f>10000/B30</f>
        <v/>
      </c>
      <c r="B30" s="26" t="n">
        <v>30.3</v>
      </c>
      <c r="C30" s="26" t="n">
        <v>1.57</v>
      </c>
      <c r="D30" s="26" t="n">
        <v>0.279</v>
      </c>
    </row>
    <row r="31">
      <c r="A31" s="25">
        <f>10000/B31</f>
        <v/>
      </c>
      <c r="B31" s="26" t="n">
        <v>28.57</v>
      </c>
      <c r="C31" s="26" t="n">
        <v>1.57</v>
      </c>
      <c r="D31" s="26" t="n">
        <v>0.293</v>
      </c>
    </row>
    <row r="32">
      <c r="A32" s="25">
        <f>10000/B32</f>
        <v/>
      </c>
      <c r="B32" s="26" t="n">
        <v>27.03</v>
      </c>
      <c r="C32" s="26" t="n">
        <v>1.57</v>
      </c>
      <c r="D32" s="26" t="n">
        <v>0.31</v>
      </c>
    </row>
    <row r="33">
      <c r="A33" s="25">
        <f>10000/B33</f>
        <v/>
      </c>
      <c r="B33" s="26" t="n">
        <v>25.64</v>
      </c>
      <c r="C33" s="26" t="n">
        <v>1.56</v>
      </c>
      <c r="D33" s="26" t="n">
        <v>0.327</v>
      </c>
    </row>
    <row r="34">
      <c r="A34" s="25">
        <f>10000/B34</f>
        <v/>
      </c>
      <c r="B34" s="26" t="n">
        <v>24.39</v>
      </c>
      <c r="C34" s="26" t="n">
        <v>1.55</v>
      </c>
      <c r="D34" s="26" t="n">
        <v>0.343</v>
      </c>
    </row>
    <row r="35">
      <c r="A35" s="25">
        <f>10000/B35</f>
        <v/>
      </c>
      <c r="B35" s="26" t="n">
        <v>23.26</v>
      </c>
      <c r="C35" s="26" t="n">
        <v>1.54</v>
      </c>
      <c r="D35" s="26" t="n">
        <v>0.359</v>
      </c>
    </row>
    <row r="36">
      <c r="A36" s="25">
        <f>10000/B36</f>
        <v/>
      </c>
      <c r="B36" s="26" t="n">
        <v>22.22</v>
      </c>
      <c r="C36" s="26" t="n">
        <v>1.51</v>
      </c>
      <c r="D36" s="26" t="n">
        <v>0.375</v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selection activeCell="A4" sqref="A4:A151"/>
    </sheetView>
  </sheetViews>
  <sheetFormatPr baseColWidth="8" defaultColWidth="2.42578125" defaultRowHeight="15"/>
  <cols>
    <col width="20.85546875" bestFit="1" customWidth="1" style="2" min="1" max="1"/>
    <col width="12" bestFit="1" customWidth="1" style="2" min="2" max="2"/>
    <col width="9.5703125" bestFit="1" customWidth="1" style="2" min="3" max="3"/>
    <col width="12" bestFit="1" customWidth="1" style="2" min="4" max="4"/>
    <col width="18.7109375" bestFit="1" customWidth="1" style="2" min="5" max="5"/>
    <col width="2.42578125" customWidth="1" style="2" min="6" max="6"/>
    <col width="13.28515625" bestFit="1" customWidth="1" style="2" min="7" max="7"/>
    <col width="23" customWidth="1" style="2" min="8" max="8"/>
    <col width="2.42578125" customWidth="1" style="2" min="9" max="16384"/>
  </cols>
  <sheetData>
    <row r="1">
      <c r="A1" s="2" t="inlineStr">
        <is>
          <t>cm-1</t>
        </is>
      </c>
      <c r="B1" s="2" t="inlineStr">
        <is>
          <t>Microns</t>
        </is>
      </c>
      <c r="C1" s="2" t="inlineStr">
        <is>
          <t>n</t>
        </is>
      </c>
      <c r="D1" s="2" t="inlineStr">
        <is>
          <t>k</t>
        </is>
      </c>
      <c r="G1" s="2" t="inlineStr">
        <is>
          <t>Entry:</t>
        </is>
      </c>
      <c r="H1" s="2" t="inlineStr">
        <is>
          <t>Tabulated refractive index</t>
        </is>
      </c>
    </row>
    <row r="2">
      <c r="A2" s="2" t="n">
        <v>0</v>
      </c>
      <c r="C2" s="21">
        <f>C3+(C3-C4)/($A4-$A3)*($A3-$A2)</f>
        <v/>
      </c>
      <c r="D2" s="21">
        <f>D3+(D3-D4)/($A4-$A3)*($A3-$A2)</f>
        <v/>
      </c>
      <c r="E2" s="2" t="inlineStr">
        <is>
          <t>Extrapolated values</t>
        </is>
      </c>
      <c r="G2" s="2" t="inlineStr">
        <is>
          <t>Density:</t>
        </is>
      </c>
      <c r="H2" s="2" t="n">
        <v>10.49</v>
      </c>
    </row>
    <row r="3">
      <c r="A3" s="2" t="n">
        <v>20</v>
      </c>
      <c r="C3" s="21">
        <f>C4+(C4-C5)/($A5-$A4)*($A4-$A3)</f>
        <v/>
      </c>
      <c r="D3" s="21">
        <f>D4+(D4-D5)/($A5-$A4)*($A4-$A3)</f>
        <v/>
      </c>
      <c r="E3" s="2" t="inlineStr">
        <is>
          <t>Extrapolated values</t>
        </is>
      </c>
      <c r="G3" s="2" t="inlineStr">
        <is>
          <t>Temperature:</t>
        </is>
      </c>
      <c r="H3" s="2" t="inlineStr">
        <is>
          <t>Unkown</t>
        </is>
      </c>
    </row>
    <row r="4">
      <c r="A4" s="27">
        <f>10000/B4</f>
        <v/>
      </c>
      <c r="B4" s="27" t="n">
        <v>248</v>
      </c>
      <c r="C4" s="21" t="n">
        <v>531</v>
      </c>
      <c r="D4" s="21" t="n">
        <v>689</v>
      </c>
      <c r="G4" s="2" t="inlineStr">
        <is>
          <t>Low:</t>
        </is>
      </c>
      <c r="H4" s="2">
        <f>MIN(A2:A170)</f>
        <v/>
      </c>
    </row>
    <row r="5">
      <c r="A5" s="27">
        <f>10000/B5</f>
        <v/>
      </c>
      <c r="B5" s="27" t="n">
        <v>124</v>
      </c>
      <c r="C5" s="21" t="n">
        <v>309</v>
      </c>
      <c r="D5" s="21" t="n">
        <v>506</v>
      </c>
      <c r="G5" s="2" t="inlineStr">
        <is>
          <t>High:</t>
        </is>
      </c>
      <c r="H5" s="2">
        <f>MAX(A2:A170)</f>
        <v/>
      </c>
    </row>
    <row r="6">
      <c r="A6" s="27">
        <f>10000/B6</f>
        <v/>
      </c>
      <c r="B6" s="27" t="n">
        <v>49.59</v>
      </c>
      <c r="C6" s="21" t="n">
        <v>118</v>
      </c>
      <c r="D6" s="21" t="n">
        <v>306</v>
      </c>
      <c r="G6" s="2" t="inlineStr">
        <is>
          <t>NPoints:</t>
        </is>
      </c>
      <c r="H6" s="2">
        <f>COUNT(A2:A170)</f>
        <v/>
      </c>
    </row>
    <row r="7">
      <c r="A7" s="27">
        <f>10000/B7</f>
        <v/>
      </c>
      <c r="B7" s="27" t="n">
        <v>24.8</v>
      </c>
      <c r="C7" s="21" t="n">
        <v>36.7</v>
      </c>
      <c r="D7" s="21" t="n">
        <v>173</v>
      </c>
      <c r="G7" s="2" t="inlineStr">
        <is>
          <t>Reference:</t>
        </is>
      </c>
      <c r="H7" s="2" t="inlineStr">
        <is>
          <t>1) H.-J. Hagemann, W. Gudat, and C. Kunz. Optical constants from the far infrared to the x-ray region: Mg, Al, Cu, Ag, Au, Bi, C, and Al&lt;sub&gt;2&lt;/sub&gt;O&lt;sub&gt;3&lt;/sub&gt;, &lt;a href=\"https://doi.org/10.1364/JOSA.65.000742\"&gt;&lt;i&gt;J. Opt. Soc. Am.&lt;/i&gt; &lt;b&gt;65&lt;/b&gt;, 742-744 (1975)&lt;/a&gt;&lt;br&gt;2) H.-J. Hagemann, W. Gudat, and C. Kunz. &lt;a href=\"https://refractiveindex.info/download/data/1974/Hagemann 1974 - DESY report SR-74-7.pdf\"&gt;DESY report SR-74/7 (1974)&lt;/a&gt;"</t>
        </is>
      </c>
    </row>
    <row r="8">
      <c r="A8" s="27">
        <f>10000/B8</f>
        <v/>
      </c>
      <c r="B8" s="27" t="n">
        <v>12.4</v>
      </c>
      <c r="C8" s="21" t="n">
        <v>9.936</v>
      </c>
      <c r="D8" s="21" t="n">
        <v>90.2</v>
      </c>
    </row>
    <row r="9">
      <c r="A9" s="27">
        <f>10000/B9</f>
        <v/>
      </c>
      <c r="B9" s="27" t="n">
        <v>6.199</v>
      </c>
      <c r="C9" s="21" t="n">
        <v>2.842</v>
      </c>
      <c r="D9" s="21" t="n">
        <v>45.7</v>
      </c>
    </row>
    <row r="10">
      <c r="A10" s="27">
        <f>10000/B10</f>
        <v/>
      </c>
      <c r="B10" s="27" t="n">
        <v>4.133</v>
      </c>
      <c r="C10" s="21" t="n">
        <v>1.411</v>
      </c>
      <c r="D10" s="21" t="n">
        <v>30.5</v>
      </c>
    </row>
    <row r="11">
      <c r="A11" s="27">
        <f>10000/B11</f>
        <v/>
      </c>
      <c r="B11" s="27" t="n">
        <v>3.1</v>
      </c>
      <c r="C11" s="21" t="n">
        <v>0.909</v>
      </c>
      <c r="D11" s="21" t="n">
        <v>22.9</v>
      </c>
    </row>
    <row r="12">
      <c r="A12" s="27">
        <f>10000/B12</f>
        <v/>
      </c>
      <c r="B12" s="27" t="n">
        <v>2.48</v>
      </c>
      <c r="C12" s="21" t="n">
        <v>0.669</v>
      </c>
      <c r="D12" s="21" t="n">
        <v>18.8</v>
      </c>
    </row>
    <row r="13">
      <c r="A13" s="27">
        <f>10000/B13</f>
        <v/>
      </c>
      <c r="B13" s="27" t="n">
        <v>1.24</v>
      </c>
      <c r="C13" s="21" t="n">
        <v>0.278</v>
      </c>
      <c r="D13" s="21" t="n">
        <v>9.02</v>
      </c>
    </row>
    <row r="14">
      <c r="A14" s="27">
        <f>10000/B14</f>
        <v/>
      </c>
      <c r="B14" s="27" t="n">
        <v>0.8266</v>
      </c>
      <c r="C14" s="21" t="n">
        <v>0.271</v>
      </c>
      <c r="D14" s="21" t="n">
        <v>5.8</v>
      </c>
    </row>
    <row r="15">
      <c r="A15" s="27">
        <f>10000/B15</f>
        <v/>
      </c>
      <c r="B15" s="27" t="n">
        <v>0.6199</v>
      </c>
      <c r="C15" s="21" t="n">
        <v>0.269</v>
      </c>
      <c r="D15" s="21" t="n">
        <v>4.18</v>
      </c>
    </row>
    <row r="16">
      <c r="A16" s="27">
        <f>10000/B16</f>
        <v/>
      </c>
      <c r="B16" s="27" t="n">
        <v>0.4959</v>
      </c>
      <c r="C16" s="21" t="n">
        <v>0.237</v>
      </c>
      <c r="D16" s="21" t="n">
        <v>3.09</v>
      </c>
    </row>
    <row r="17">
      <c r="A17" s="27">
        <f>10000/B17</f>
        <v/>
      </c>
      <c r="B17" s="27" t="n">
        <v>0.4133</v>
      </c>
      <c r="C17" s="21" t="n">
        <v>0.226</v>
      </c>
      <c r="D17" s="21" t="n">
        <v>2.28</v>
      </c>
    </row>
    <row r="18">
      <c r="A18" s="27">
        <f>10000/B18</f>
        <v/>
      </c>
      <c r="B18" s="27" t="n">
        <v>0.3815</v>
      </c>
      <c r="C18" s="21" t="n">
        <v>0.229</v>
      </c>
      <c r="D18" s="21" t="n">
        <v>1.86</v>
      </c>
    </row>
    <row r="19">
      <c r="A19" s="27">
        <f>10000/B19</f>
        <v/>
      </c>
      <c r="B19" s="27" t="n">
        <v>0.3542</v>
      </c>
      <c r="C19" s="21" t="n">
        <v>0.211</v>
      </c>
      <c r="D19" s="21" t="n">
        <v>1.42</v>
      </c>
    </row>
    <row r="20">
      <c r="A20" s="27">
        <f>10000/B20</f>
        <v/>
      </c>
      <c r="B20" s="27" t="n">
        <v>0.3444</v>
      </c>
      <c r="C20" s="21" t="n">
        <v>0.23</v>
      </c>
      <c r="D20" s="21" t="n">
        <v>1.13</v>
      </c>
    </row>
    <row r="21">
      <c r="A21" s="27">
        <f>10000/B21</f>
        <v/>
      </c>
      <c r="B21" s="27" t="n">
        <v>0.3351</v>
      </c>
      <c r="C21" s="21" t="n">
        <v>0.3</v>
      </c>
      <c r="D21" s="21" t="n">
        <v>0.765</v>
      </c>
    </row>
    <row r="22">
      <c r="A22" s="27">
        <f>10000/B22</f>
        <v/>
      </c>
      <c r="B22" s="27" t="n">
        <v>0.3289</v>
      </c>
      <c r="C22" s="21" t="n">
        <v>0.527</v>
      </c>
      <c r="D22" s="21" t="n">
        <v>0.399</v>
      </c>
    </row>
    <row r="23">
      <c r="A23" s="27">
        <f>10000/B23</f>
        <v/>
      </c>
      <c r="B23" s="27" t="n">
        <v>0.3263</v>
      </c>
      <c r="C23" s="21" t="n">
        <v>0.727</v>
      </c>
      <c r="D23" s="21" t="n">
        <v>0.304</v>
      </c>
    </row>
    <row r="24">
      <c r="A24" s="27">
        <f>10000/B24</f>
        <v/>
      </c>
      <c r="B24" s="27" t="n">
        <v>0.3179</v>
      </c>
      <c r="C24" s="21" t="n">
        <v>1.295</v>
      </c>
      <c r="D24" s="21" t="n">
        <v>0.36</v>
      </c>
    </row>
    <row r="25">
      <c r="A25" s="27">
        <f>10000/B25</f>
        <v/>
      </c>
      <c r="B25" s="27" t="n">
        <v>0.31</v>
      </c>
      <c r="C25" s="21" t="n">
        <v>1.615</v>
      </c>
      <c r="D25" s="21" t="n">
        <v>0.599</v>
      </c>
    </row>
    <row r="26">
      <c r="A26" s="27">
        <f>10000/B26</f>
        <v/>
      </c>
      <c r="B26" s="27" t="n">
        <v>0.3024</v>
      </c>
      <c r="C26" s="21" t="n">
        <v>1.729</v>
      </c>
      <c r="D26" s="21" t="n">
        <v>0.845</v>
      </c>
    </row>
    <row r="27">
      <c r="A27" s="27">
        <f>10000/B27</f>
        <v/>
      </c>
      <c r="B27" s="27" t="n">
        <v>0.2952</v>
      </c>
      <c r="C27" s="21" t="n">
        <v>1.752</v>
      </c>
      <c r="D27" s="21" t="n">
        <v>1.06</v>
      </c>
    </row>
    <row r="28">
      <c r="A28" s="27">
        <f>10000/B28</f>
        <v/>
      </c>
      <c r="B28" s="27" t="n">
        <v>0.2883</v>
      </c>
      <c r="C28" s="21" t="n">
        <v>1.729</v>
      </c>
      <c r="D28" s="21" t="n">
        <v>1.13</v>
      </c>
    </row>
    <row r="29">
      <c r="A29" s="27">
        <f>10000/B29</f>
        <v/>
      </c>
      <c r="B29" s="27" t="n">
        <v>0.2755</v>
      </c>
      <c r="C29" s="21" t="n">
        <v>1.694</v>
      </c>
      <c r="D29" s="21" t="n">
        <v>1.28</v>
      </c>
    </row>
    <row r="30">
      <c r="A30" s="27">
        <f>10000/B30</f>
        <v/>
      </c>
      <c r="B30" s="27" t="n">
        <v>0.261</v>
      </c>
      <c r="C30" s="21" t="n">
        <v>1.612</v>
      </c>
      <c r="D30" s="21" t="n">
        <v>1.34</v>
      </c>
    </row>
    <row r="31">
      <c r="A31" s="27">
        <f>10000/B31</f>
        <v/>
      </c>
      <c r="B31" s="27" t="n">
        <v>0.248</v>
      </c>
      <c r="C31" s="21" t="n">
        <v>1.549</v>
      </c>
      <c r="D31" s="21" t="n">
        <v>1.35</v>
      </c>
    </row>
    <row r="32">
      <c r="A32" s="27">
        <f>10000/B32</f>
        <v/>
      </c>
      <c r="B32" s="27" t="n">
        <v>0.2254</v>
      </c>
      <c r="C32" s="21" t="n">
        <v>1.446</v>
      </c>
      <c r="D32" s="21" t="n">
        <v>1.34</v>
      </c>
    </row>
    <row r="33">
      <c r="A33" s="27">
        <f>10000/B33</f>
        <v/>
      </c>
      <c r="B33" s="27" t="n">
        <v>0.2066</v>
      </c>
      <c r="C33" s="21" t="n">
        <v>1.339</v>
      </c>
      <c r="D33" s="21" t="n">
        <v>1.28</v>
      </c>
    </row>
    <row r="34">
      <c r="A34" s="27">
        <f>10000/B34</f>
        <v/>
      </c>
      <c r="B34" s="27" t="n">
        <v>0.1907</v>
      </c>
      <c r="C34" s="21" t="n">
        <v>1.254</v>
      </c>
      <c r="D34" s="21" t="n">
        <v>1.18</v>
      </c>
    </row>
    <row r="35">
      <c r="A35" s="27">
        <f>10000/B35</f>
        <v/>
      </c>
      <c r="B35" s="27" t="n">
        <v>0.1771</v>
      </c>
      <c r="C35" s="21" t="n">
        <v>1.178</v>
      </c>
      <c r="D35" s="21" t="n">
        <v>1.06</v>
      </c>
    </row>
    <row r="36">
      <c r="A36" s="27">
        <f>10000/B36</f>
        <v/>
      </c>
      <c r="B36" s="27" t="n">
        <v>0.1653</v>
      </c>
      <c r="C36" s="21" t="n">
        <v>1.142</v>
      </c>
      <c r="D36" s="21" t="n">
        <v>0.911</v>
      </c>
    </row>
    <row r="37">
      <c r="A37" s="27">
        <f>10000/B37</f>
        <v/>
      </c>
      <c r="B37" s="27" t="n">
        <v>0.155</v>
      </c>
      <c r="C37" s="21" t="n">
        <v>1.16</v>
      </c>
      <c r="D37" s="21" t="n">
        <v>0.753</v>
      </c>
    </row>
    <row r="38">
      <c r="A38" s="27">
        <f>10000/B38</f>
        <v/>
      </c>
      <c r="B38" s="27" t="n">
        <v>0.1378</v>
      </c>
      <c r="C38" s="21" t="n">
        <v>1.326</v>
      </c>
      <c r="D38" s="21" t="n">
        <v>0.5620000000000001</v>
      </c>
    </row>
    <row r="39">
      <c r="A39" s="27">
        <f>10000/B39</f>
        <v/>
      </c>
      <c r="B39" s="27" t="n">
        <v>0.124</v>
      </c>
      <c r="C39" s="21" t="n">
        <v>1.462</v>
      </c>
      <c r="D39" s="21" t="n">
        <v>0.5570000000000001</v>
      </c>
    </row>
    <row r="40">
      <c r="A40" s="27">
        <f>10000/B40</f>
        <v/>
      </c>
      <c r="B40" s="27" t="n">
        <v>0.1127</v>
      </c>
      <c r="C40" s="21" t="n">
        <v>1.545</v>
      </c>
      <c r="D40" s="21" t="n">
        <v>0.553</v>
      </c>
    </row>
    <row r="41">
      <c r="A41" s="27">
        <f>10000/B41</f>
        <v/>
      </c>
      <c r="B41" s="27" t="n">
        <v>0.1033</v>
      </c>
      <c r="C41" s="21" t="n">
        <v>1.608</v>
      </c>
      <c r="D41" s="21" t="n">
        <v>0.587</v>
      </c>
    </row>
    <row r="42">
      <c r="A42" s="27">
        <f>10000/B42</f>
        <v/>
      </c>
      <c r="B42" s="27" t="n">
        <v>0.09537</v>
      </c>
      <c r="C42" s="21" t="n">
        <v>1.655</v>
      </c>
      <c r="D42" s="21" t="n">
        <v>0.64</v>
      </c>
    </row>
    <row r="43">
      <c r="A43" s="27">
        <f>10000/B43</f>
        <v/>
      </c>
      <c r="B43" s="27" t="n">
        <v>0.08856</v>
      </c>
      <c r="C43" s="21" t="n">
        <v>1.72</v>
      </c>
      <c r="D43" s="21" t="n">
        <v>0.783</v>
      </c>
    </row>
    <row r="44">
      <c r="A44" s="27">
        <f>10000/B44</f>
        <v/>
      </c>
      <c r="B44" s="27" t="n">
        <v>0.08551</v>
      </c>
      <c r="C44" s="21" t="n">
        <v>1.644</v>
      </c>
      <c r="D44" s="21" t="n">
        <v>0.875</v>
      </c>
    </row>
    <row r="45">
      <c r="A45" s="27">
        <f>10000/B45</f>
        <v/>
      </c>
      <c r="B45" s="27" t="n">
        <v>0.08266</v>
      </c>
      <c r="C45" s="21" t="n">
        <v>1.66</v>
      </c>
      <c r="D45" s="21" t="n">
        <v>0.918</v>
      </c>
    </row>
    <row r="46">
      <c r="A46" s="27">
        <f>10000/B46</f>
        <v/>
      </c>
      <c r="B46" s="27" t="n">
        <v>0.07749</v>
      </c>
      <c r="C46" s="21" t="n">
        <v>1.421</v>
      </c>
      <c r="D46" s="21" t="n">
        <v>0.91</v>
      </c>
    </row>
    <row r="47">
      <c r="A47" s="27">
        <f>10000/B47</f>
        <v/>
      </c>
      <c r="B47" s="27" t="n">
        <v>0.07292999999999999</v>
      </c>
      <c r="C47" s="21" t="n">
        <v>1.33</v>
      </c>
      <c r="D47" s="21" t="n">
        <v>0.964</v>
      </c>
    </row>
    <row r="48">
      <c r="A48" s="27">
        <f>10000/B48</f>
        <v/>
      </c>
      <c r="B48" s="27" t="n">
        <v>0.06888</v>
      </c>
      <c r="C48" s="21" t="n">
        <v>1.281</v>
      </c>
      <c r="D48" s="21" t="n">
        <v>0.805</v>
      </c>
    </row>
    <row r="49">
      <c r="A49" s="27">
        <f>10000/B49</f>
        <v/>
      </c>
      <c r="B49" s="27" t="n">
        <v>0.06525</v>
      </c>
      <c r="C49" s="21" t="n">
        <v>1.266</v>
      </c>
      <c r="D49" s="21" t="n">
        <v>0.752</v>
      </c>
    </row>
    <row r="50">
      <c r="A50" s="27">
        <f>10000/B50</f>
        <v/>
      </c>
      <c r="B50" s="27" t="n">
        <v>0.06199</v>
      </c>
      <c r="C50" s="21" t="n">
        <v>1.29</v>
      </c>
      <c r="D50" s="21" t="n">
        <v>0.714</v>
      </c>
    </row>
    <row r="51">
      <c r="A51" s="27">
        <f>10000/B51</f>
        <v/>
      </c>
      <c r="B51" s="27" t="n">
        <v>0.05904</v>
      </c>
      <c r="C51" s="21" t="n">
        <v>1.346</v>
      </c>
      <c r="D51" s="21" t="n">
        <v>0.745</v>
      </c>
    </row>
    <row r="52">
      <c r="A52" s="27">
        <f>10000/B52</f>
        <v/>
      </c>
      <c r="B52" s="27" t="n">
        <v>0.05767</v>
      </c>
      <c r="C52" s="21" t="n">
        <v>1.368</v>
      </c>
      <c r="D52" s="21" t="n">
        <v>0.801</v>
      </c>
    </row>
    <row r="53">
      <c r="A53" s="27">
        <f>10000/B53</f>
        <v/>
      </c>
      <c r="B53" s="27" t="n">
        <v>0.05636</v>
      </c>
      <c r="C53" s="21" t="n">
        <v>1.338</v>
      </c>
      <c r="D53" s="21" t="n">
        <v>0.874</v>
      </c>
    </row>
    <row r="54">
      <c r="A54" s="27">
        <f>10000/B54</f>
        <v/>
      </c>
      <c r="B54" s="27" t="n">
        <v>0.0551</v>
      </c>
      <c r="C54" s="21" t="n">
        <v>1.262</v>
      </c>
      <c r="D54" s="21" t="n">
        <v>0.9350000000000001</v>
      </c>
    </row>
    <row r="55">
      <c r="A55" s="27">
        <f>10000/B55</f>
        <v/>
      </c>
      <c r="B55" s="27" t="n">
        <v>0.05391</v>
      </c>
      <c r="C55" s="21" t="n">
        <v>1.175</v>
      </c>
      <c r="D55" s="21" t="n">
        <v>0.9429999999999999</v>
      </c>
    </row>
    <row r="56">
      <c r="A56" s="27">
        <f>10000/B56</f>
        <v/>
      </c>
      <c r="B56" s="27" t="n">
        <v>0.05276</v>
      </c>
      <c r="C56" s="21" t="n">
        <v>1.104</v>
      </c>
      <c r="D56" s="21" t="n">
        <v>0.93</v>
      </c>
    </row>
    <row r="57">
      <c r="A57" s="27">
        <f>10000/B57</f>
        <v/>
      </c>
      <c r="B57" s="27" t="n">
        <v>0.05166</v>
      </c>
      <c r="C57" s="21" t="n">
        <v>1.039</v>
      </c>
      <c r="D57" s="21" t="n">
        <v>0.904</v>
      </c>
    </row>
    <row r="58">
      <c r="A58" s="27">
        <f>10000/B58</f>
        <v/>
      </c>
      <c r="B58" s="27" t="n">
        <v>0.05061</v>
      </c>
      <c r="C58" s="21" t="n">
        <v>0.989</v>
      </c>
      <c r="D58" s="21" t="n">
        <v>0.868</v>
      </c>
    </row>
    <row r="59">
      <c r="A59" s="27">
        <f>10000/B59</f>
        <v/>
      </c>
      <c r="B59" s="27" t="n">
        <v>0.04959</v>
      </c>
      <c r="C59" s="21" t="n">
        <v>0.947</v>
      </c>
      <c r="D59" s="21" t="n">
        <v>0.828</v>
      </c>
    </row>
    <row r="60">
      <c r="A60" s="27">
        <f>10000/B60</f>
        <v/>
      </c>
      <c r="B60" s="27" t="n">
        <v>0.04862</v>
      </c>
      <c r="C60" s="21" t="n">
        <v>0.913</v>
      </c>
      <c r="D60" s="21" t="n">
        <v>0.778</v>
      </c>
    </row>
    <row r="61">
      <c r="A61" s="27">
        <f>10000/B61</f>
        <v/>
      </c>
      <c r="B61" s="27" t="n">
        <v>0.04769</v>
      </c>
      <c r="C61" s="21" t="n">
        <v>0.897</v>
      </c>
      <c r="D61" s="21" t="n">
        <v>0.734</v>
      </c>
    </row>
    <row r="62">
      <c r="A62" s="27">
        <f>10000/B62</f>
        <v/>
      </c>
      <c r="B62" s="27" t="n">
        <v>0.04679</v>
      </c>
      <c r="C62" s="21" t="n">
        <v>0.889</v>
      </c>
      <c r="D62" s="21" t="n">
        <v>0.6909999999999999</v>
      </c>
    </row>
    <row r="63">
      <c r="A63" s="27">
        <f>10000/B63</f>
        <v/>
      </c>
      <c r="B63" s="27" t="n">
        <v>0.04592</v>
      </c>
      <c r="C63" s="21" t="n">
        <v>0.886</v>
      </c>
      <c r="D63" s="21" t="n">
        <v>0.65</v>
      </c>
    </row>
    <row r="64">
      <c r="A64" s="27">
        <f>10000/B64</f>
        <v/>
      </c>
      <c r="B64" s="27" t="n">
        <v>0.04509</v>
      </c>
      <c r="C64" s="21" t="n">
        <v>0.891</v>
      </c>
      <c r="D64" s="21" t="n">
        <v>0.616</v>
      </c>
    </row>
    <row r="65">
      <c r="A65" s="27">
        <f>10000/B65</f>
        <v/>
      </c>
      <c r="B65" s="27" t="n">
        <v>0.04428</v>
      </c>
      <c r="C65" s="21" t="n">
        <v>0.902</v>
      </c>
      <c r="D65" s="21" t="n">
        <v>0.59</v>
      </c>
    </row>
    <row r="66">
      <c r="A66" s="27">
        <f>10000/B66</f>
        <v/>
      </c>
      <c r="B66" s="27" t="n">
        <v>0.0435</v>
      </c>
      <c r="C66" s="21" t="n">
        <v>0.911</v>
      </c>
      <c r="D66" s="21" t="n">
        <v>0.572</v>
      </c>
    </row>
    <row r="67">
      <c r="A67" s="27">
        <f>10000/B67</f>
        <v/>
      </c>
      <c r="B67" s="27" t="n">
        <v>0.04275</v>
      </c>
      <c r="C67" s="21" t="n">
        <v>0.919</v>
      </c>
      <c r="D67" s="21" t="n">
        <v>0.5570000000000001</v>
      </c>
    </row>
    <row r="68">
      <c r="A68" s="27">
        <f>10000/B68</f>
        <v/>
      </c>
      <c r="B68" s="27" t="n">
        <v>0.04133</v>
      </c>
      <c r="C68" s="21" t="n">
        <v>0.93</v>
      </c>
      <c r="D68" s="21" t="n">
        <v>0.541</v>
      </c>
    </row>
    <row r="69">
      <c r="A69" s="27">
        <f>10000/B69</f>
        <v/>
      </c>
      <c r="B69" s="27" t="n">
        <v>0.03999</v>
      </c>
      <c r="C69" s="21" t="n">
        <v>0.9320000000000001</v>
      </c>
      <c r="D69" s="21" t="n">
        <v>0.534</v>
      </c>
    </row>
    <row r="70">
      <c r="A70" s="27">
        <f>10000/B70</f>
        <v/>
      </c>
      <c r="B70" s="27" t="n">
        <v>0.03875</v>
      </c>
      <c r="C70" s="21" t="n">
        <v>0.921</v>
      </c>
      <c r="D70" s="21" t="n">
        <v>0.528</v>
      </c>
    </row>
    <row r="71">
      <c r="A71" s="27">
        <f>10000/B71</f>
        <v/>
      </c>
      <c r="B71" s="27" t="n">
        <v>0.03757</v>
      </c>
      <c r="C71" s="21" t="n">
        <v>0.899</v>
      </c>
      <c r="D71" s="21" t="n">
        <v>0.514</v>
      </c>
    </row>
    <row r="72">
      <c r="A72" s="27">
        <f>10000/B72</f>
        <v/>
      </c>
      <c r="B72" s="27" t="n">
        <v>0.03647</v>
      </c>
      <c r="C72" s="21" t="n">
        <v>0.879</v>
      </c>
      <c r="D72" s="21" t="n">
        <v>0.489</v>
      </c>
    </row>
    <row r="73">
      <c r="A73" s="27">
        <f>10000/B73</f>
        <v/>
      </c>
      <c r="B73" s="27" t="n">
        <v>0.03542</v>
      </c>
      <c r="C73" s="21" t="n">
        <v>0.865</v>
      </c>
      <c r="D73" s="21" t="n">
        <v>0.454</v>
      </c>
    </row>
    <row r="74">
      <c r="A74" s="27">
        <f>10000/B74</f>
        <v/>
      </c>
      <c r="B74" s="27" t="n">
        <v>0.03444</v>
      </c>
      <c r="C74" s="21" t="n">
        <v>0.876</v>
      </c>
      <c r="D74" s="21" t="n">
        <v>0.418</v>
      </c>
    </row>
    <row r="75">
      <c r="A75" s="27">
        <f>10000/B75</f>
        <v/>
      </c>
      <c r="B75" s="27" t="n">
        <v>0.03351</v>
      </c>
      <c r="C75" s="21" t="n">
        <v>0.885</v>
      </c>
      <c r="D75" s="21" t="n">
        <v>0.4</v>
      </c>
    </row>
    <row r="76">
      <c r="A76" s="27">
        <f>10000/B76</f>
        <v/>
      </c>
      <c r="B76" s="27" t="n">
        <v>0.03263</v>
      </c>
      <c r="C76" s="21" t="n">
        <v>0.892</v>
      </c>
      <c r="D76" s="21" t="n">
        <v>0.388</v>
      </c>
    </row>
    <row r="77">
      <c r="A77" s="27">
        <f>10000/B77</f>
        <v/>
      </c>
      <c r="B77" s="27" t="n">
        <v>0.03179</v>
      </c>
      <c r="C77" s="21" t="n">
        <v>0.895</v>
      </c>
      <c r="D77" s="21" t="n">
        <v>0.378</v>
      </c>
    </row>
    <row r="78">
      <c r="A78" s="27">
        <f>10000/B78</f>
        <v/>
      </c>
      <c r="B78" s="27" t="n">
        <v>0.031</v>
      </c>
      <c r="C78" s="21" t="n">
        <v>0.896</v>
      </c>
      <c r="D78" s="21" t="n">
        <v>0.368</v>
      </c>
    </row>
    <row r="79">
      <c r="A79" s="27">
        <f>10000/B79</f>
        <v/>
      </c>
      <c r="B79" s="27" t="n">
        <v>0.02952</v>
      </c>
      <c r="C79" s="21" t="n">
        <v>0.897</v>
      </c>
      <c r="D79" s="21" t="n">
        <v>0.349</v>
      </c>
    </row>
    <row r="80">
      <c r="A80" s="27">
        <f>10000/B80</f>
        <v/>
      </c>
      <c r="B80" s="27" t="n">
        <v>0.02818</v>
      </c>
      <c r="C80" s="21" t="n">
        <v>0.899</v>
      </c>
      <c r="D80" s="21" t="n">
        <v>0.334</v>
      </c>
    </row>
    <row r="81">
      <c r="A81" s="27">
        <f>10000/B81</f>
        <v/>
      </c>
      <c r="B81" s="27" t="n">
        <v>0.02695</v>
      </c>
      <c r="C81" s="21" t="n">
        <v>0.896</v>
      </c>
      <c r="D81" s="21" t="n">
        <v>0.323</v>
      </c>
    </row>
    <row r="82">
      <c r="A82" s="27">
        <f>10000/B82</f>
        <v/>
      </c>
      <c r="B82" s="27" t="n">
        <v>0.02638</v>
      </c>
      <c r="C82" s="21" t="n">
        <v>0.893</v>
      </c>
      <c r="D82" s="21" t="n">
        <v>0.317</v>
      </c>
    </row>
    <row r="83">
      <c r="A83" s="27">
        <f>10000/B83</f>
        <v/>
      </c>
      <c r="B83" s="27" t="n">
        <v>0.02583</v>
      </c>
      <c r="C83" s="21" t="n">
        <v>0.888</v>
      </c>
      <c r="D83" s="21" t="n">
        <v>0.309</v>
      </c>
    </row>
    <row r="84">
      <c r="A84" s="27">
        <f>10000/B84</f>
        <v/>
      </c>
      <c r="B84" s="27" t="n">
        <v>0.0253</v>
      </c>
      <c r="C84" s="21" t="n">
        <v>0.885</v>
      </c>
      <c r="D84" s="21" t="n">
        <v>0.3</v>
      </c>
    </row>
    <row r="85">
      <c r="A85" s="27">
        <f>10000/B85</f>
        <v/>
      </c>
      <c r="B85" s="27" t="n">
        <v>0.0248</v>
      </c>
      <c r="C85" s="21" t="n">
        <v>0.884</v>
      </c>
      <c r="D85" s="21" t="n">
        <v>0.29</v>
      </c>
    </row>
    <row r="86">
      <c r="A86" s="27">
        <f>10000/B86</f>
        <v/>
      </c>
      <c r="B86" s="27" t="n">
        <v>0.02431</v>
      </c>
      <c r="C86" s="21" t="n">
        <v>0.886</v>
      </c>
      <c r="D86" s="21" t="n">
        <v>0.281</v>
      </c>
    </row>
    <row r="87">
      <c r="A87" s="27">
        <f>10000/B87</f>
        <v/>
      </c>
      <c r="B87" s="27" t="n">
        <v>0.02384</v>
      </c>
      <c r="C87" s="21" t="n">
        <v>0.889</v>
      </c>
      <c r="D87" s="21" t="n">
        <v>0.276</v>
      </c>
    </row>
    <row r="88">
      <c r="A88" s="27">
        <f>10000/B88</f>
        <v/>
      </c>
      <c r="B88" s="27" t="n">
        <v>0.02339</v>
      </c>
      <c r="C88" s="21" t="n">
        <v>0.89</v>
      </c>
      <c r="D88" s="21" t="n">
        <v>0.275</v>
      </c>
    </row>
    <row r="89">
      <c r="A89" s="27">
        <f>10000/B89</f>
        <v/>
      </c>
      <c r="B89" s="27" t="n">
        <v>0.02296</v>
      </c>
      <c r="C89" s="21" t="n">
        <v>0.885</v>
      </c>
      <c r="D89" s="21" t="n">
        <v>0.274</v>
      </c>
    </row>
    <row r="90">
      <c r="A90" s="27">
        <f>10000/B90</f>
        <v/>
      </c>
      <c r="B90" s="27" t="n">
        <v>0.02214</v>
      </c>
      <c r="C90" s="21" t="n">
        <v>0.871</v>
      </c>
      <c r="D90" s="21" t="n">
        <v>0.259</v>
      </c>
    </row>
    <row r="91">
      <c r="A91" s="27">
        <f>10000/B91</f>
        <v/>
      </c>
      <c r="B91" s="27" t="n">
        <v>0.02138</v>
      </c>
      <c r="C91" s="21" t="n">
        <v>0.868</v>
      </c>
      <c r="D91" s="21" t="n">
        <v>0.237</v>
      </c>
    </row>
    <row r="92">
      <c r="A92" s="27">
        <f>10000/B92</f>
        <v/>
      </c>
      <c r="B92" s="27" t="n">
        <v>0.02066</v>
      </c>
      <c r="C92" s="21" t="n">
        <v>0.873</v>
      </c>
      <c r="D92" s="21" t="n">
        <v>0.221</v>
      </c>
    </row>
    <row r="93">
      <c r="A93" s="27">
        <f>10000/B93</f>
        <v/>
      </c>
      <c r="B93" s="27" t="n">
        <v>0.02</v>
      </c>
      <c r="C93" s="21" t="n">
        <v>0.881</v>
      </c>
      <c r="D93" s="21" t="n">
        <v>0.211</v>
      </c>
    </row>
    <row r="94">
      <c r="A94" s="27">
        <f>10000/B94</f>
        <v/>
      </c>
      <c r="B94" s="27" t="n">
        <v>0.01937</v>
      </c>
      <c r="C94" s="21" t="n">
        <v>0.885</v>
      </c>
      <c r="D94" s="21" t="n">
        <v>0.21</v>
      </c>
    </row>
    <row r="95">
      <c r="A95" s="27">
        <f>10000/B95</f>
        <v/>
      </c>
      <c r="B95" s="27" t="n">
        <v>0.01879</v>
      </c>
      <c r="C95" s="21" t="n">
        <v>0.883</v>
      </c>
      <c r="D95" s="21" t="n">
        <v>0.211</v>
      </c>
    </row>
    <row r="96">
      <c r="A96" s="27">
        <f>10000/B96</f>
        <v/>
      </c>
      <c r="B96" s="27" t="n">
        <v>0.01823</v>
      </c>
      <c r="C96" s="21" t="n">
        <v>0.871</v>
      </c>
      <c r="D96" s="21" t="n">
        <v>0.208</v>
      </c>
    </row>
    <row r="97">
      <c r="A97" s="27">
        <f>10000/B97</f>
        <v/>
      </c>
      <c r="B97" s="27" t="n">
        <v>0.01771</v>
      </c>
      <c r="C97" s="21" t="n">
        <v>0.859</v>
      </c>
      <c r="D97" s="21" t="n">
        <v>0.197</v>
      </c>
    </row>
    <row r="98">
      <c r="A98" s="27">
        <f>10000/B98</f>
        <v/>
      </c>
      <c r="B98" s="27" t="n">
        <v>0.01722</v>
      </c>
      <c r="C98" s="21" t="n">
        <v>0.851</v>
      </c>
      <c r="D98" s="21" t="n">
        <v>0.181</v>
      </c>
    </row>
    <row r="99">
      <c r="A99" s="27">
        <f>10000/B99</f>
        <v/>
      </c>
      <c r="B99" s="27" t="n">
        <v>0.01675</v>
      </c>
      <c r="C99" s="21" t="n">
        <v>0.853</v>
      </c>
      <c r="D99" s="21" t="n">
        <v>0.166</v>
      </c>
    </row>
    <row r="100">
      <c r="A100" s="27">
        <f>10000/B100</f>
        <v/>
      </c>
      <c r="B100" s="27" t="n">
        <v>0.01631</v>
      </c>
      <c r="C100" s="21" t="n">
        <v>0.853</v>
      </c>
      <c r="D100" s="21" t="n">
        <v>0.158</v>
      </c>
    </row>
    <row r="101">
      <c r="A101" s="27">
        <f>10000/B101</f>
        <v/>
      </c>
      <c r="B101" s="27" t="n">
        <v>0.0159</v>
      </c>
      <c r="C101" s="21" t="n">
        <v>0.851</v>
      </c>
      <c r="D101" s="21" t="n">
        <v>0.149</v>
      </c>
    </row>
    <row r="102">
      <c r="A102" s="27">
        <f>10000/B102</f>
        <v/>
      </c>
      <c r="B102" s="27" t="n">
        <v>0.0155</v>
      </c>
      <c r="C102" s="21" t="n">
        <v>0.848</v>
      </c>
      <c r="D102" s="21" t="n">
        <v>0.139</v>
      </c>
    </row>
    <row r="103">
      <c r="A103" s="27">
        <f>10000/B103</f>
        <v/>
      </c>
      <c r="B103" s="27" t="n">
        <v>0.01459</v>
      </c>
      <c r="C103" s="21" t="n">
        <v>0.846</v>
      </c>
      <c r="D103" s="21" t="n">
        <v>0.111</v>
      </c>
    </row>
    <row r="104">
      <c r="A104" s="27">
        <f>10000/B104</f>
        <v/>
      </c>
      <c r="B104" s="27" t="n">
        <v>0.01378</v>
      </c>
      <c r="C104" s="21" t="n">
        <v>0.849</v>
      </c>
      <c r="D104" s="21" t="n">
        <v>0.0842</v>
      </c>
    </row>
    <row r="105">
      <c r="A105" s="27">
        <f>10000/B105</f>
        <v/>
      </c>
      <c r="B105" s="27" t="n">
        <v>0.01305</v>
      </c>
      <c r="C105" s="21" t="n">
        <v>0.861</v>
      </c>
      <c r="D105" s="21" t="n">
        <v>0.0565</v>
      </c>
    </row>
    <row r="106">
      <c r="A106" s="27">
        <f>10000/B106</f>
        <v/>
      </c>
      <c r="B106" s="27" t="n">
        <v>0.0124</v>
      </c>
      <c r="C106" s="21" t="n">
        <v>0.876</v>
      </c>
      <c r="D106" s="21" t="n">
        <v>0.0382</v>
      </c>
    </row>
    <row r="107">
      <c r="A107" s="27">
        <f>10000/B107</f>
        <v/>
      </c>
      <c r="B107" s="27" t="n">
        <v>0.01181</v>
      </c>
      <c r="C107" s="21" t="n">
        <v>0.89</v>
      </c>
      <c r="D107" s="21" t="n">
        <v>0.0261</v>
      </c>
    </row>
    <row r="108">
      <c r="A108" s="27">
        <f>10000/B108</f>
        <v/>
      </c>
      <c r="B108" s="27" t="n">
        <v>0.01127</v>
      </c>
      <c r="C108" s="21" t="n">
        <v>0.902</v>
      </c>
      <c r="D108" s="21" t="n">
        <v>0.0172</v>
      </c>
    </row>
    <row r="109">
      <c r="A109" s="27">
        <f>10000/B109</f>
        <v/>
      </c>
      <c r="B109" s="27" t="n">
        <v>0.01033</v>
      </c>
      <c r="C109" s="21" t="n">
        <v>0.926</v>
      </c>
      <c r="D109" s="21" t="n">
        <v>0.00622</v>
      </c>
    </row>
    <row r="110">
      <c r="A110" s="27">
        <f>10000/B110</f>
        <v/>
      </c>
      <c r="B110" s="27" t="n">
        <v>0.009537</v>
      </c>
      <c r="C110" s="21" t="n">
        <v>0.9429999999999999</v>
      </c>
      <c r="D110" s="21" t="n">
        <v>0.00366</v>
      </c>
    </row>
    <row r="111">
      <c r="A111" s="27">
        <f>10000/B111</f>
        <v/>
      </c>
      <c r="B111" s="27" t="n">
        <v>0.008855999999999999</v>
      </c>
      <c r="C111" s="21" t="n">
        <v>0.955</v>
      </c>
      <c r="D111" s="21" t="n">
        <v>0.00354</v>
      </c>
    </row>
    <row r="112">
      <c r="A112" s="27">
        <f>10000/B112</f>
        <v/>
      </c>
      <c r="B112" s="27" t="n">
        <v>0.008266000000000001</v>
      </c>
      <c r="C112" s="21" t="n">
        <v>0.963</v>
      </c>
      <c r="D112" s="21" t="n">
        <v>0.00407</v>
      </c>
    </row>
    <row r="113">
      <c r="A113" s="27">
        <f>10000/B113</f>
        <v/>
      </c>
      <c r="B113" s="27" t="n">
        <v>0.007749</v>
      </c>
      <c r="C113" s="21" t="n">
        <v>0.968</v>
      </c>
      <c r="D113" s="21" t="n">
        <v>0.00438</v>
      </c>
    </row>
    <row r="114">
      <c r="A114" s="27">
        <f>10000/B114</f>
        <v/>
      </c>
      <c r="B114" s="27" t="n">
        <v>0.007293</v>
      </c>
      <c r="C114" s="21" t="n">
        <v>0.973</v>
      </c>
      <c r="D114" s="21" t="n">
        <v>0.00442</v>
      </c>
    </row>
    <row r="115">
      <c r="A115" s="27">
        <f>10000/B115</f>
        <v/>
      </c>
      <c r="B115" s="27" t="n">
        <v>0.006888</v>
      </c>
      <c r="C115" s="21" t="n">
        <v>0.978</v>
      </c>
      <c r="D115" s="21" t="n">
        <v>0.00431</v>
      </c>
    </row>
    <row r="116">
      <c r="A116" s="27">
        <f>10000/B116</f>
        <v/>
      </c>
      <c r="B116" s="27" t="n">
        <v>0.006199</v>
      </c>
      <c r="C116" s="21" t="n">
        <v>0.982</v>
      </c>
      <c r="D116" s="21" t="n">
        <v>0.00377</v>
      </c>
    </row>
    <row r="117">
      <c r="A117" s="27">
        <f>10000/B117</f>
        <v/>
      </c>
      <c r="B117" s="27" t="n">
        <v>0.005636</v>
      </c>
      <c r="C117" s="21" t="n">
        <v>0.987</v>
      </c>
      <c r="D117" s="21" t="n">
        <v>0.00345</v>
      </c>
    </row>
    <row r="118">
      <c r="A118" s="27">
        <f>10000/B118</f>
        <v/>
      </c>
      <c r="B118" s="27" t="n">
        <v>0.005166</v>
      </c>
      <c r="C118" s="21" t="n">
        <v>0.989</v>
      </c>
      <c r="D118" s="21" t="n">
        <v>0.0035</v>
      </c>
    </row>
    <row r="119">
      <c r="A119" s="27">
        <f>10000/B119</f>
        <v/>
      </c>
      <c r="B119" s="27" t="n">
        <v>0.004769</v>
      </c>
      <c r="C119" s="21" t="n">
        <v>0.992</v>
      </c>
      <c r="D119" s="21" t="n">
        <v>0.00311</v>
      </c>
    </row>
    <row r="120">
      <c r="A120" s="27">
        <f>10000/B120</f>
        <v/>
      </c>
      <c r="B120" s="27" t="n">
        <v>0.004428</v>
      </c>
      <c r="C120" s="21" t="n">
        <v>0.994</v>
      </c>
      <c r="D120" s="21" t="n">
        <v>0.0027</v>
      </c>
    </row>
    <row r="121">
      <c r="A121" s="27">
        <f>10000/B121</f>
        <v/>
      </c>
      <c r="B121" s="27" t="n">
        <v>0.004133</v>
      </c>
      <c r="C121" s="21" t="n">
        <v>0.996</v>
      </c>
      <c r="D121" s="21" t="n">
        <v>0.00232</v>
      </c>
    </row>
    <row r="122">
      <c r="A122" s="27">
        <f>10000/B122</f>
        <v/>
      </c>
      <c r="B122" s="27" t="n">
        <v>0.003542</v>
      </c>
      <c r="C122" s="21" t="n">
        <v>1.001</v>
      </c>
      <c r="D122" s="21" t="n">
        <v>0.00168</v>
      </c>
    </row>
    <row r="123">
      <c r="A123" s="27">
        <f>10000/B123</f>
        <v/>
      </c>
      <c r="B123" s="27" t="n">
        <v>0.003351</v>
      </c>
      <c r="C123" s="21" t="n">
        <v>1.007</v>
      </c>
      <c r="D123" s="21" t="n">
        <v>0.008229999999999999</v>
      </c>
    </row>
    <row r="124">
      <c r="A124" s="27">
        <f>10000/B124</f>
        <v/>
      </c>
      <c r="B124" s="27" t="n">
        <v>0.0031</v>
      </c>
      <c r="C124" s="21" t="n">
        <v>0.998</v>
      </c>
      <c r="D124" s="21" t="n">
        <v>0.00882</v>
      </c>
    </row>
    <row r="125">
      <c r="A125" s="27">
        <f>10000/B125</f>
        <v/>
      </c>
      <c r="B125" s="27" t="n">
        <v>0.00248</v>
      </c>
      <c r="C125" s="21" t="n">
        <v>0.997</v>
      </c>
      <c r="D125" s="21" t="n">
        <v>0.00457</v>
      </c>
    </row>
    <row r="126">
      <c r="A126" s="27">
        <f>10000/B126</f>
        <v/>
      </c>
      <c r="B126" s="27" t="n">
        <v>0.002066</v>
      </c>
      <c r="C126" s="21" t="n">
        <v>0.997</v>
      </c>
      <c r="D126" s="21" t="n">
        <v>0.00269</v>
      </c>
    </row>
    <row r="127">
      <c r="A127" s="27">
        <f>10000/B127</f>
        <v/>
      </c>
      <c r="B127" s="27" t="n">
        <v>0.001675</v>
      </c>
      <c r="C127" s="21" t="n">
        <v>0.998</v>
      </c>
      <c r="D127" s="21" t="n">
        <v>0.00142</v>
      </c>
    </row>
    <row r="128">
      <c r="A128" s="27">
        <f>10000/B128</f>
        <v/>
      </c>
      <c r="B128" s="27" t="n">
        <v>0.00155</v>
      </c>
      <c r="C128" s="21" t="n">
        <v>0.997</v>
      </c>
      <c r="D128" s="21" t="n">
        <v>0.00108</v>
      </c>
    </row>
    <row r="129">
      <c r="A129" s="27">
        <f>10000/B129</f>
        <v/>
      </c>
      <c r="B129" s="27" t="n">
        <v>0.00124</v>
      </c>
      <c r="C129" s="21" t="n">
        <v>0.998</v>
      </c>
      <c r="D129" s="21" t="n">
        <v>0.000523</v>
      </c>
    </row>
    <row r="130">
      <c r="A130" s="27">
        <f>10000/B130</f>
        <v/>
      </c>
      <c r="B130" s="27" t="n">
        <v>0.0008266</v>
      </c>
      <c r="C130" s="21" t="n">
        <v>0.999</v>
      </c>
      <c r="D130" s="21" t="n">
        <v>0.000121</v>
      </c>
    </row>
    <row r="131">
      <c r="A131" s="27">
        <f>10000/B131</f>
        <v/>
      </c>
      <c r="B131" s="27" t="n">
        <v>0.0006199000000000001</v>
      </c>
      <c r="C131" s="21" t="n">
        <v>1.001</v>
      </c>
      <c r="D131" s="21" t="n">
        <v>4.72e-05</v>
      </c>
    </row>
    <row r="132">
      <c r="A132" s="27">
        <f>10000/B132</f>
        <v/>
      </c>
      <c r="B132" s="27" t="n">
        <v>0.0004959</v>
      </c>
      <c r="C132" s="21" t="n">
        <v>1.001</v>
      </c>
      <c r="D132" s="21" t="n">
        <v>2.4e-05</v>
      </c>
    </row>
    <row r="133">
      <c r="A133" s="27">
        <f>10000/B133</f>
        <v/>
      </c>
      <c r="B133" s="27" t="n">
        <v>0.0004133</v>
      </c>
      <c r="C133" s="21" t="n">
        <v>1.001</v>
      </c>
      <c r="D133" s="21" t="n">
        <v>1.43e-05</v>
      </c>
    </row>
    <row r="134">
      <c r="A134" s="27">
        <f>10000/B134</f>
        <v/>
      </c>
      <c r="B134" s="27" t="n">
        <v>0.0003542</v>
      </c>
      <c r="C134" s="21" t="n">
        <v>1.003</v>
      </c>
      <c r="D134" s="21" t="n">
        <v>1.72e-05</v>
      </c>
    </row>
    <row r="135">
      <c r="A135" s="27">
        <f>10000/B135</f>
        <v/>
      </c>
      <c r="B135" s="27" t="n">
        <v>0.0003444</v>
      </c>
      <c r="C135" s="21" t="n">
        <v>1.003</v>
      </c>
      <c r="D135" s="21" t="n">
        <v>3.24e-05</v>
      </c>
    </row>
    <row r="136">
      <c r="A136" s="27">
        <f>10000/B136</f>
        <v/>
      </c>
      <c r="B136" s="27" t="n">
        <v>0.00031</v>
      </c>
      <c r="C136" s="21" t="n">
        <v>1.003</v>
      </c>
      <c r="D136" s="21" t="n">
        <v>3.57e-05</v>
      </c>
    </row>
    <row r="137">
      <c r="A137" s="27">
        <f>10000/B137</f>
        <v/>
      </c>
      <c r="B137" s="27" t="n">
        <v>0.0002755</v>
      </c>
      <c r="C137" s="21" t="n">
        <v>1.001</v>
      </c>
      <c r="D137" s="21" t="n">
        <v>2.21e-05</v>
      </c>
    </row>
    <row r="138">
      <c r="A138" s="27">
        <f>10000/B138</f>
        <v/>
      </c>
      <c r="B138" s="27" t="n">
        <v>0.000248</v>
      </c>
      <c r="C138" s="21" t="n">
        <v>1.001</v>
      </c>
      <c r="D138" s="21" t="n">
        <v>1.52e-05</v>
      </c>
    </row>
    <row r="139">
      <c r="A139" s="27">
        <f>10000/B139</f>
        <v/>
      </c>
      <c r="B139" s="27" t="n">
        <v>0.0002066</v>
      </c>
      <c r="C139" s="21" t="n">
        <v>1.002</v>
      </c>
      <c r="D139" s="21" t="n">
        <v>8.36e-06</v>
      </c>
    </row>
    <row r="140">
      <c r="A140" s="27">
        <f>10000/B140</f>
        <v/>
      </c>
      <c r="B140" s="27" t="n">
        <v>0.000155</v>
      </c>
      <c r="C140" s="21" t="n">
        <v>1</v>
      </c>
      <c r="D140" s="21" t="n">
        <v>2.92e-06</v>
      </c>
    </row>
    <row r="141">
      <c r="A141" s="27">
        <f>10000/B141</f>
        <v/>
      </c>
      <c r="B141" s="27" t="n">
        <v>0.000124</v>
      </c>
      <c r="C141" s="21" t="n">
        <v>0.999</v>
      </c>
      <c r="D141" s="21" t="n">
        <v>1.29e-06</v>
      </c>
    </row>
    <row r="142">
      <c r="A142" s="27">
        <f>10000/B142</f>
        <v/>
      </c>
      <c r="B142" s="27" t="n">
        <v>6.198999999999999e-05</v>
      </c>
      <c r="C142" s="21" t="n">
        <v>0.999</v>
      </c>
      <c r="D142" s="21" t="n">
        <v>9.57e-08</v>
      </c>
    </row>
    <row r="143">
      <c r="A143" s="27">
        <f>10000/B143</f>
        <v/>
      </c>
      <c r="B143" s="27" t="n">
        <v>4.959e-05</v>
      </c>
      <c r="C143" s="21" t="n">
        <v>1.001</v>
      </c>
      <c r="D143" s="21" t="n">
        <v>3.63e-08</v>
      </c>
    </row>
    <row r="144">
      <c r="A144" s="27">
        <f>10000/B144</f>
        <v/>
      </c>
      <c r="B144" s="27" t="n">
        <v>4.769e-05</v>
      </c>
      <c r="C144" s="21" t="n">
        <v>1.001</v>
      </c>
      <c r="D144" s="21" t="n">
        <v>2.11e-07</v>
      </c>
    </row>
    <row r="145">
      <c r="A145" s="27">
        <f>10000/B145</f>
        <v/>
      </c>
      <c r="B145" s="27" t="n">
        <v>4.133e-05</v>
      </c>
      <c r="C145" s="21" t="n">
        <v>1</v>
      </c>
      <c r="D145" s="21" t="n">
        <v>1.32e-07</v>
      </c>
    </row>
    <row r="146">
      <c r="A146" s="27">
        <f>10000/B146</f>
        <v/>
      </c>
      <c r="B146" s="27" t="n">
        <v>3.1e-05</v>
      </c>
      <c r="C146" s="21" t="n">
        <v>1.003</v>
      </c>
      <c r="D146" s="21" t="n">
        <v>4.64e-08</v>
      </c>
    </row>
    <row r="147">
      <c r="A147" s="27">
        <f>10000/B147</f>
        <v/>
      </c>
      <c r="B147" s="27" t="n">
        <v>2.48e-05</v>
      </c>
      <c r="C147" s="21" t="n">
        <v>1.003</v>
      </c>
      <c r="D147" s="21" t="n">
        <v>1.92e-08</v>
      </c>
    </row>
    <row r="148">
      <c r="A148" s="27">
        <f>10000/B148</f>
        <v/>
      </c>
      <c r="B148" s="27" t="n">
        <v>1.653e-05</v>
      </c>
      <c r="C148" s="21" t="n">
        <v>1</v>
      </c>
      <c r="D148" s="21" t="n">
        <v>4.33e-09</v>
      </c>
    </row>
    <row r="149">
      <c r="A149" s="27">
        <f>10000/B149</f>
        <v/>
      </c>
      <c r="B149" s="27" t="n">
        <v>1.24e-05</v>
      </c>
      <c r="C149" s="21" t="n">
        <v>0.999</v>
      </c>
      <c r="D149" s="21" t="n">
        <v>1.49e-09</v>
      </c>
    </row>
    <row r="150">
      <c r="A150" s="27">
        <f>10000/B150</f>
        <v/>
      </c>
      <c r="B150" s="27" t="n">
        <v>6.199e-06</v>
      </c>
      <c r="C150" s="21" t="n">
        <v>0.998</v>
      </c>
      <c r="D150" s="21" t="n">
        <v>1.15e-10</v>
      </c>
    </row>
    <row r="151">
      <c r="A151" s="27">
        <f>10000/B151</f>
        <v/>
      </c>
      <c r="B151" s="27" t="n">
        <v>2.48e-06</v>
      </c>
      <c r="C151" s="21" t="n">
        <v>1.003</v>
      </c>
      <c r="D151" s="21" t="n">
        <v>3.98e-12</v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03"/>
  <sheetViews>
    <sheetView workbookViewId="0">
      <selection activeCell="A1" sqref="A1"/>
    </sheetView>
  </sheetViews>
  <sheetFormatPr baseColWidth="8" defaultColWidth="2.42578125" defaultRowHeight="15"/>
  <cols>
    <col width="12" bestFit="1" customWidth="1" style="9" min="1" max="1"/>
    <col width="9.5703125" bestFit="1" customWidth="1" style="9" min="2" max="2"/>
    <col width="12.5703125" bestFit="1" customWidth="1" style="9" min="3" max="3"/>
    <col width="12" bestFit="1" customWidth="1" style="9" min="4" max="4"/>
    <col width="18.7109375" bestFit="1" customWidth="1" style="9" min="5" max="5"/>
    <col width="2.42578125" customWidth="1" style="9" min="6" max="6"/>
    <col width="13.28515625" bestFit="1" customWidth="1" style="9" min="7" max="7"/>
    <col width="30.7109375" customWidth="1" style="9" min="8" max="8"/>
    <col width="2.42578125" customWidth="1" style="9" min="9" max="16384"/>
  </cols>
  <sheetData>
    <row r="1">
      <c r="A1" s="9" t="inlineStr">
        <is>
          <t>cm-1</t>
        </is>
      </c>
      <c r="B1" s="9" t="inlineStr">
        <is>
          <t>Microns</t>
        </is>
      </c>
      <c r="C1" s="9" t="inlineStr">
        <is>
          <t>n</t>
        </is>
      </c>
      <c r="D1" s="9" t="inlineStr">
        <is>
          <t>k</t>
        </is>
      </c>
      <c r="G1" s="9" t="inlineStr">
        <is>
          <t>Entry:</t>
        </is>
      </c>
      <c r="H1" s="9" t="inlineStr">
        <is>
          <t>Tabulated refractive index</t>
        </is>
      </c>
    </row>
    <row r="2">
      <c r="A2" s="9" t="n">
        <v>0</v>
      </c>
      <c r="C2" s="28">
        <f>C3+(C3-C4)/($A4-$A3)*($A3-$A2)</f>
        <v/>
      </c>
      <c r="D2" s="29" t="n">
        <v>0</v>
      </c>
      <c r="E2" s="9" t="inlineStr">
        <is>
          <t>Extrapolated values</t>
        </is>
      </c>
      <c r="G2" s="9" t="inlineStr">
        <is>
          <t>Density g/ml</t>
        </is>
      </c>
      <c r="H2" s="9" t="n">
        <v>2.201</v>
      </c>
    </row>
    <row r="3">
      <c r="A3" s="9" t="n">
        <v>150</v>
      </c>
      <c r="C3" s="28">
        <f>C4+(C4-C5)/($A5-$A4)*($A4-$A3)</f>
        <v/>
      </c>
      <c r="D3" s="29">
        <f>D4+(D4-D5)/($A5-$A4)*($A4-$A3)</f>
        <v/>
      </c>
      <c r="E3" s="9" t="inlineStr">
        <is>
          <t>Extrapolated values</t>
        </is>
      </c>
      <c r="G3" s="9" t="inlineStr">
        <is>
          <t>Temperature:</t>
        </is>
      </c>
      <c r="H3" s="9" t="n">
        <v>25</v>
      </c>
    </row>
    <row r="4">
      <c r="A4" s="29">
        <f>10000/B4</f>
        <v/>
      </c>
      <c r="B4" s="29" t="n">
        <v>50</v>
      </c>
      <c r="C4" s="28" t="n">
        <v>2.0617</v>
      </c>
      <c r="D4" s="29" t="n">
        <v>0.027185</v>
      </c>
      <c r="G4" s="9" t="inlineStr">
        <is>
          <t>Low:</t>
        </is>
      </c>
      <c r="H4" s="9">
        <f>MIN(A4:A203)</f>
        <v/>
      </c>
    </row>
    <row r="5">
      <c r="A5" s="29">
        <f>10000/B5</f>
        <v/>
      </c>
      <c r="B5" s="29" t="n">
        <v>48.503</v>
      </c>
      <c r="C5" s="28" t="n">
        <v>2.0676</v>
      </c>
      <c r="D5" s="29" t="n">
        <v>0.030258</v>
      </c>
      <c r="G5" s="9" t="inlineStr">
        <is>
          <t>High:</t>
        </is>
      </c>
      <c r="H5" s="9">
        <f>MAX(A4:A203)</f>
        <v/>
      </c>
    </row>
    <row r="6">
      <c r="A6" s="29">
        <f>10000/B6</f>
        <v/>
      </c>
      <c r="B6" s="29" t="n">
        <v>47.093</v>
      </c>
      <c r="C6" s="28" t="n">
        <v>2.0737</v>
      </c>
      <c r="D6" s="29" t="n">
        <v>0.033581</v>
      </c>
      <c r="E6" s="9" t="inlineStr"/>
      <c r="G6" s="9" t="inlineStr">
        <is>
          <t>NPoints:</t>
        </is>
      </c>
      <c r="H6" s="9">
        <f>COUNT(A4:A172)</f>
        <v/>
      </c>
    </row>
    <row r="7">
      <c r="A7" s="29">
        <f>10000/B7</f>
        <v/>
      </c>
      <c r="B7" s="29" t="n">
        <v>45.762</v>
      </c>
      <c r="C7" s="28" t="n">
        <v>2.08</v>
      </c>
      <c r="D7" s="29" t="n">
        <v>0.037162</v>
      </c>
      <c r="G7" s="9" t="inlineStr">
        <is>
          <t>Reference:</t>
        </is>
      </c>
      <c r="H7" s="9" t="inlineStr">
        <is>
          <t>1) S. Popova, T. Tolstykh, V. Vorobev. Optical characteristics of amorphous quartz in the 1400â€“200 cm&lt;sup&gt;-1&lt;/sup&gt; region, &lt;i&gt;Opt. Spectrosc.&lt;/i&gt; &lt;b&gt;33&lt;/b&gt;, 444â€“445 (1972), as cited in Ref. 2&lt;br&gt;2) R. Kitamura, L. Pilon, M. Jonasz. Optical constants of silica glass from extreme ultraviolet to far infrared at near room temperature, &lt;a href=\"https://doi.org/10.1364/AO.46.008118\"&gt;&lt;i&gt;Appl. Opt.&lt;/i&gt; &lt;b&gt;33&lt;/b&gt;, 8118-8133 (2007)&lt;/a&gt;&lt;br&gt;&lt;sup&gt;*&lt;/sup&gt; Ref. 2 provides a model for calculating optical constants; model parameters are derived by fitting experimental data from Ref. 1.&lt;br&gt;[&lt;a href=\"https://github.com/polyanskiy/refractiveindex.info-scripts/blob/master/scripts/Kitamura%202007%20-%20Fused%20silica.py\"&gt;Calculation script (Python)&lt;/a&gt;]</t>
        </is>
      </c>
    </row>
    <row r="8">
      <c r="A8" s="29">
        <f>10000/B8</f>
        <v/>
      </c>
      <c r="B8" s="29" t="n">
        <v>44.505</v>
      </c>
      <c r="C8" s="28" t="n">
        <v>2.0864</v>
      </c>
      <c r="D8" s="29" t="n">
        <v>0.041008</v>
      </c>
    </row>
    <row r="9">
      <c r="A9" s="29">
        <f>10000/B9</f>
        <v/>
      </c>
      <c r="B9" s="29" t="n">
        <v>43.315</v>
      </c>
      <c r="C9" s="28" t="n">
        <v>2.0929</v>
      </c>
      <c r="D9" s="29" t="n">
        <v>0.045123</v>
      </c>
    </row>
    <row r="10">
      <c r="A10" s="29">
        <f>10000/B10</f>
        <v/>
      </c>
      <c r="B10" s="29" t="n">
        <v>42.187</v>
      </c>
      <c r="C10" s="28" t="n">
        <v>2.0996</v>
      </c>
      <c r="D10" s="29" t="n">
        <v>0.049509</v>
      </c>
    </row>
    <row r="11">
      <c r="A11" s="29">
        <f>10000/B11</f>
        <v/>
      </c>
      <c r="B11" s="29" t="n">
        <v>41.116</v>
      </c>
      <c r="C11" s="28" t="n">
        <v>2.1065</v>
      </c>
      <c r="D11" s="29" t="n">
        <v>0.054167</v>
      </c>
    </row>
    <row r="12">
      <c r="A12" s="29">
        <f>10000/B12</f>
        <v/>
      </c>
      <c r="B12" s="29" t="n">
        <v>40.098</v>
      </c>
      <c r="C12" s="28" t="n">
        <v>2.1135</v>
      </c>
      <c r="D12" s="29" t="n">
        <v>0.059095</v>
      </c>
    </row>
    <row r="13">
      <c r="A13" s="29">
        <f>10000/B13</f>
        <v/>
      </c>
      <c r="B13" s="29" t="n">
        <v>39.129</v>
      </c>
      <c r="C13" s="28" t="n">
        <v>2.1206</v>
      </c>
      <c r="D13" s="29" t="n">
        <v>0.064288</v>
      </c>
    </row>
    <row r="14">
      <c r="A14" s="29">
        <f>10000/B14</f>
        <v/>
      </c>
      <c r="B14" s="29" t="n">
        <v>38.206</v>
      </c>
      <c r="C14" s="28" t="n">
        <v>2.1279</v>
      </c>
      <c r="D14" s="29" t="n">
        <v>0.069739</v>
      </c>
    </row>
    <row r="15">
      <c r="A15" s="29">
        <f>10000/B15</f>
        <v/>
      </c>
      <c r="B15" s="29" t="n">
        <v>37.326</v>
      </c>
      <c r="C15" s="28" t="n">
        <v>2.1353</v>
      </c>
      <c r="D15" s="29" t="n">
        <v>0.075437</v>
      </c>
    </row>
    <row r="16">
      <c r="A16" s="29">
        <f>10000/B16</f>
        <v/>
      </c>
      <c r="B16" s="29" t="n">
        <v>36.485</v>
      </c>
      <c r="C16" s="28" t="n">
        <v>2.1429</v>
      </c>
      <c r="D16" s="29" t="n">
        <v>0.08136699999999999</v>
      </c>
    </row>
    <row r="17">
      <c r="A17" s="29">
        <f>10000/B17</f>
        <v/>
      </c>
      <c r="B17" s="29" t="n">
        <v>35.681</v>
      </c>
      <c r="C17" s="28" t="n">
        <v>2.1506</v>
      </c>
      <c r="D17" s="29" t="n">
        <v>0.08751299999999999</v>
      </c>
    </row>
    <row r="18">
      <c r="A18" s="29">
        <f>10000/B18</f>
        <v/>
      </c>
      <c r="B18" s="29" t="n">
        <v>34.912</v>
      </c>
      <c r="C18" s="28" t="n">
        <v>2.1585</v>
      </c>
      <c r="D18" s="29" t="n">
        <v>0.09385400000000001</v>
      </c>
    </row>
    <row r="19">
      <c r="A19" s="29">
        <f>10000/B19</f>
        <v/>
      </c>
      <c r="B19" s="29" t="n">
        <v>34.176</v>
      </c>
      <c r="C19" s="28" t="n">
        <v>2.1667</v>
      </c>
      <c r="D19" s="29" t="n">
        <v>0.10036</v>
      </c>
    </row>
    <row r="20">
      <c r="A20" s="29">
        <f>10000/B20</f>
        <v/>
      </c>
      <c r="B20" s="29" t="n">
        <v>33.469</v>
      </c>
      <c r="C20" s="28" t="n">
        <v>2.1751</v>
      </c>
      <c r="D20" s="29" t="n">
        <v>0.10702</v>
      </c>
    </row>
    <row r="21">
      <c r="A21" s="29">
        <f>10000/B21</f>
        <v/>
      </c>
      <c r="B21" s="29" t="n">
        <v>32.792</v>
      </c>
      <c r="C21" s="28" t="n">
        <v>2.1838</v>
      </c>
      <c r="D21" s="29" t="n">
        <v>0.11377</v>
      </c>
    </row>
    <row r="22">
      <c r="A22" s="29">
        <f>10000/B22</f>
        <v/>
      </c>
      <c r="B22" s="29" t="n">
        <v>32.141</v>
      </c>
      <c r="C22" s="28" t="n">
        <v>2.193</v>
      </c>
      <c r="D22" s="29" t="n">
        <v>0.1206</v>
      </c>
    </row>
    <row r="23">
      <c r="A23" s="29">
        <f>10000/B23</f>
        <v/>
      </c>
      <c r="B23" s="29" t="n">
        <v>31.516</v>
      </c>
      <c r="C23" s="28" t="n">
        <v>2.2026</v>
      </c>
      <c r="D23" s="29" t="n">
        <v>0.12746</v>
      </c>
    </row>
    <row r="24">
      <c r="A24" s="29">
        <f>10000/B24</f>
        <v/>
      </c>
      <c r="B24" s="29" t="n">
        <v>30.914</v>
      </c>
      <c r="C24" s="28" t="n">
        <v>2.2129</v>
      </c>
      <c r="D24" s="29" t="n">
        <v>0.13429</v>
      </c>
    </row>
    <row r="25">
      <c r="A25" s="29">
        <f>10000/B25</f>
        <v/>
      </c>
      <c r="B25" s="29" t="n">
        <v>30.335</v>
      </c>
      <c r="C25" s="28" t="n">
        <v>2.224</v>
      </c>
      <c r="D25" s="29" t="n">
        <v>0.14105</v>
      </c>
    </row>
    <row r="26">
      <c r="A26" s="29">
        <f>10000/B26</f>
        <v/>
      </c>
      <c r="B26" s="29" t="n">
        <v>29.778</v>
      </c>
      <c r="C26" s="28" t="n">
        <v>2.236</v>
      </c>
      <c r="D26" s="29" t="n">
        <v>0.14767</v>
      </c>
    </row>
    <row r="27">
      <c r="A27" s="29">
        <f>10000/B27</f>
        <v/>
      </c>
      <c r="B27" s="29" t="n">
        <v>29.24</v>
      </c>
      <c r="C27" s="28" t="n">
        <v>2.2494</v>
      </c>
      <c r="D27" s="29" t="n">
        <v>0.15409</v>
      </c>
    </row>
    <row r="28">
      <c r="A28" s="29">
        <f>10000/B28</f>
        <v/>
      </c>
      <c r="B28" s="29" t="n">
        <v>28.722</v>
      </c>
      <c r="C28" s="28" t="n">
        <v>2.2644</v>
      </c>
      <c r="D28" s="29" t="n">
        <v>0.16023</v>
      </c>
    </row>
    <row r="29">
      <c r="A29" s="29">
        <f>10000/B29</f>
        <v/>
      </c>
      <c r="B29" s="29" t="n">
        <v>28.221</v>
      </c>
      <c r="C29" s="28" t="n">
        <v>2.2816</v>
      </c>
      <c r="D29" s="29" t="n">
        <v>0.16602</v>
      </c>
    </row>
    <row r="30">
      <c r="A30" s="29">
        <f>10000/B30</f>
        <v/>
      </c>
      <c r="B30" s="29" t="n">
        <v>27.738</v>
      </c>
      <c r="C30" s="28" t="n">
        <v>2.3017</v>
      </c>
      <c r="D30" s="29" t="n">
        <v>0.17139</v>
      </c>
    </row>
    <row r="31">
      <c r="A31" s="29">
        <f>10000/B31</f>
        <v/>
      </c>
      <c r="B31" s="29" t="n">
        <v>27.271</v>
      </c>
      <c r="C31" s="28" t="n">
        <v>2.3258</v>
      </c>
      <c r="D31" s="29" t="n">
        <v>0.17638</v>
      </c>
    </row>
    <row r="32">
      <c r="A32" s="29">
        <f>10000/B32</f>
        <v/>
      </c>
      <c r="B32" s="29" t="n">
        <v>26.819</v>
      </c>
      <c r="C32" s="28" t="n">
        <v>2.3556</v>
      </c>
      <c r="D32" s="29" t="n">
        <v>0.18128</v>
      </c>
    </row>
    <row r="33">
      <c r="A33" s="29">
        <f>10000/B33</f>
        <v/>
      </c>
      <c r="B33" s="29" t="n">
        <v>26.383</v>
      </c>
      <c r="C33" s="28" t="n">
        <v>2.3933</v>
      </c>
      <c r="D33" s="29" t="n">
        <v>0.18708</v>
      </c>
    </row>
    <row r="34">
      <c r="A34" s="29">
        <f>10000/B34</f>
        <v/>
      </c>
      <c r="B34" s="29" t="n">
        <v>25.96</v>
      </c>
      <c r="C34" s="28" t="n">
        <v>2.4419</v>
      </c>
      <c r="D34" s="29" t="n">
        <v>0.19621</v>
      </c>
    </row>
    <row r="35">
      <c r="A35" s="29">
        <f>10000/B35</f>
        <v/>
      </c>
      <c r="B35" s="29" t="n">
        <v>25.55</v>
      </c>
      <c r="C35" s="28" t="n">
        <v>2.5042</v>
      </c>
      <c r="D35" s="29" t="n">
        <v>0.21347</v>
      </c>
    </row>
    <row r="36">
      <c r="A36" s="29">
        <f>10000/B36</f>
        <v/>
      </c>
      <c r="B36" s="29" t="n">
        <v>25.153</v>
      </c>
      <c r="C36" s="28" t="n">
        <v>2.5811</v>
      </c>
      <c r="D36" s="29" t="n">
        <v>0.24658</v>
      </c>
    </row>
    <row r="37">
      <c r="A37" s="29">
        <f>10000/B37</f>
        <v/>
      </c>
      <c r="B37" s="29" t="n">
        <v>24.769</v>
      </c>
      <c r="C37" s="28" t="n">
        <v>2.6691</v>
      </c>
      <c r="D37" s="29" t="n">
        <v>0.30536</v>
      </c>
    </row>
    <row r="38">
      <c r="A38" s="29">
        <f>10000/B38</f>
        <v/>
      </c>
      <c r="B38" s="29" t="n">
        <v>24.396</v>
      </c>
      <c r="C38" s="28" t="n">
        <v>2.7587</v>
      </c>
      <c r="D38" s="29" t="n">
        <v>0.39885</v>
      </c>
    </row>
    <row r="39">
      <c r="A39" s="29">
        <f>10000/B39</f>
        <v/>
      </c>
      <c r="B39" s="29" t="n">
        <v>24.034</v>
      </c>
      <c r="C39" s="28" t="n">
        <v>2.8344</v>
      </c>
      <c r="D39" s="29" t="n">
        <v>0.53099</v>
      </c>
    </row>
    <row r="40">
      <c r="A40" s="29">
        <f>10000/B40</f>
        <v/>
      </c>
      <c r="B40" s="29" t="n">
        <v>23.682</v>
      </c>
      <c r="C40" s="28" t="n">
        <v>2.8783</v>
      </c>
      <c r="D40" s="29" t="n">
        <v>0.69647</v>
      </c>
    </row>
    <row r="41">
      <c r="A41" s="29">
        <f>10000/B41</f>
        <v/>
      </c>
      <c r="B41" s="29" t="n">
        <v>23.341</v>
      </c>
      <c r="C41" s="28" t="n">
        <v>2.8764</v>
      </c>
      <c r="D41" s="29" t="n">
        <v>0.87847</v>
      </c>
    </row>
    <row r="42">
      <c r="A42" s="29">
        <f>10000/B42</f>
        <v/>
      </c>
      <c r="B42" s="29" t="n">
        <v>23.01</v>
      </c>
      <c r="C42" s="28" t="n">
        <v>2.8291</v>
      </c>
      <c r="D42" s="29" t="n">
        <v>1.0507</v>
      </c>
    </row>
    <row r="43">
      <c r="A43" s="29">
        <f>10000/B43</f>
        <v/>
      </c>
      <c r="B43" s="29" t="n">
        <v>22.687</v>
      </c>
      <c r="C43" s="28" t="n">
        <v>2.7637</v>
      </c>
      <c r="D43" s="29" t="n">
        <v>1.1916</v>
      </c>
    </row>
    <row r="44">
      <c r="A44" s="29">
        <f>10000/B44</f>
        <v/>
      </c>
      <c r="B44" s="29" t="n">
        <v>22.374</v>
      </c>
      <c r="C44" s="28" t="n">
        <v>2.7292</v>
      </c>
      <c r="D44" s="29" t="n">
        <v>1.324</v>
      </c>
    </row>
    <row r="45">
      <c r="A45" s="29">
        <f>10000/B45</f>
        <v/>
      </c>
      <c r="B45" s="29" t="n">
        <v>22.069</v>
      </c>
      <c r="C45" s="28" t="n">
        <v>2.7207</v>
      </c>
      <c r="D45" s="29" t="n">
        <v>1.5382</v>
      </c>
    </row>
    <row r="46">
      <c r="A46" s="29">
        <f>10000/B46</f>
        <v/>
      </c>
      <c r="B46" s="29" t="n">
        <v>21.772</v>
      </c>
      <c r="C46" s="28" t="n">
        <v>2.607</v>
      </c>
      <c r="D46" s="29" t="n">
        <v>1.8824</v>
      </c>
    </row>
    <row r="47">
      <c r="A47" s="29">
        <f>10000/B47</f>
        <v/>
      </c>
      <c r="B47" s="29" t="n">
        <v>21.484</v>
      </c>
      <c r="C47" s="28" t="n">
        <v>2.2514</v>
      </c>
      <c r="D47" s="29" t="n">
        <v>2.233</v>
      </c>
    </row>
    <row r="48">
      <c r="A48" s="29">
        <f>10000/B48</f>
        <v/>
      </c>
      <c r="B48" s="29" t="n">
        <v>21.202</v>
      </c>
      <c r="C48" s="28" t="n">
        <v>1.688</v>
      </c>
      <c r="D48" s="29" t="n">
        <v>2.3816</v>
      </c>
    </row>
    <row r="49">
      <c r="A49" s="29">
        <f>10000/B49</f>
        <v/>
      </c>
      <c r="B49" s="29" t="n">
        <v>20.928</v>
      </c>
      <c r="C49" s="28" t="n">
        <v>1.1089</v>
      </c>
      <c r="D49" s="29" t="n">
        <v>2.2271</v>
      </c>
    </row>
    <row r="50">
      <c r="A50" s="29">
        <f>10000/B50</f>
        <v/>
      </c>
      <c r="B50" s="29" t="n">
        <v>20.662</v>
      </c>
      <c r="C50" s="28" t="n">
        <v>0.70236</v>
      </c>
      <c r="D50" s="29" t="n">
        <v>1.8459</v>
      </c>
    </row>
    <row r="51">
      <c r="A51" s="29">
        <f>10000/B51</f>
        <v/>
      </c>
      <c r="B51" s="29" t="n">
        <v>20.401</v>
      </c>
      <c r="C51" s="28" t="n">
        <v>0.5297500000000001</v>
      </c>
      <c r="D51" s="29" t="n">
        <v>1.3988</v>
      </c>
    </row>
    <row r="52">
      <c r="A52" s="29">
        <f>10000/B52</f>
        <v/>
      </c>
      <c r="B52" s="29" t="n">
        <v>20.148</v>
      </c>
      <c r="C52" s="28" t="n">
        <v>0.54296</v>
      </c>
      <c r="D52" s="29" t="n">
        <v>1.0087</v>
      </c>
    </row>
    <row r="53">
      <c r="A53" s="29">
        <f>10000/B53</f>
        <v/>
      </c>
      <c r="B53" s="29" t="n">
        <v>19.9</v>
      </c>
      <c r="C53" s="28" t="n">
        <v>0.6610200000000001</v>
      </c>
      <c r="D53" s="29" t="n">
        <v>0.73106</v>
      </c>
    </row>
    <row r="54">
      <c r="A54" s="29">
        <f>10000/B54</f>
        <v/>
      </c>
      <c r="B54" s="29" t="n">
        <v>19.658</v>
      </c>
      <c r="C54" s="28" t="n">
        <v>0.80196</v>
      </c>
      <c r="D54" s="29" t="n">
        <v>0.56696</v>
      </c>
    </row>
    <row r="55">
      <c r="A55" s="29">
        <f>10000/B55</f>
        <v/>
      </c>
      <c r="B55" s="29" t="n">
        <v>19.423</v>
      </c>
      <c r="C55" s="28" t="n">
        <v>0.9196800000000001</v>
      </c>
      <c r="D55" s="29" t="n">
        <v>0.47426</v>
      </c>
    </row>
    <row r="56">
      <c r="A56" s="29">
        <f>10000/B56</f>
        <v/>
      </c>
      <c r="B56" s="29" t="n">
        <v>19.193</v>
      </c>
      <c r="C56" s="28" t="n">
        <v>1.0096</v>
      </c>
      <c r="D56" s="29" t="n">
        <v>0.41654</v>
      </c>
    </row>
    <row r="57">
      <c r="A57" s="29">
        <f>10000/B57</f>
        <v/>
      </c>
      <c r="B57" s="29" t="n">
        <v>18.968</v>
      </c>
      <c r="C57" s="28" t="n">
        <v>1.0786</v>
      </c>
      <c r="D57" s="29" t="n">
        <v>0.37593</v>
      </c>
    </row>
    <row r="58">
      <c r="A58" s="29">
        <f>10000/B58</f>
        <v/>
      </c>
      <c r="B58" s="29" t="n">
        <v>18.748</v>
      </c>
      <c r="C58" s="28" t="n">
        <v>1.133</v>
      </c>
      <c r="D58" s="29" t="n">
        <v>0.34441</v>
      </c>
    </row>
    <row r="59">
      <c r="A59" s="29">
        <f>10000/B59</f>
        <v/>
      </c>
      <c r="B59" s="29" t="n">
        <v>18.534</v>
      </c>
      <c r="C59" s="28" t="n">
        <v>1.1771</v>
      </c>
      <c r="D59" s="29" t="n">
        <v>0.3182</v>
      </c>
    </row>
    <row r="60">
      <c r="A60" s="29">
        <f>10000/B60</f>
        <v/>
      </c>
      <c r="B60" s="29" t="n">
        <v>18.324</v>
      </c>
      <c r="C60" s="28" t="n">
        <v>1.2139</v>
      </c>
      <c r="D60" s="29" t="n">
        <v>0.29536</v>
      </c>
    </row>
    <row r="61">
      <c r="A61" s="29">
        <f>10000/B61</f>
        <v/>
      </c>
      <c r="B61" s="29" t="n">
        <v>18.119</v>
      </c>
      <c r="C61" s="28" t="n">
        <v>1.2455</v>
      </c>
      <c r="D61" s="29" t="n">
        <v>0.27482</v>
      </c>
    </row>
    <row r="62">
      <c r="A62" s="29">
        <f>10000/B62</f>
        <v/>
      </c>
      <c r="B62" s="29" t="n">
        <v>17.919</v>
      </c>
      <c r="C62" s="28" t="n">
        <v>1.2731</v>
      </c>
      <c r="D62" s="29" t="n">
        <v>0.25592</v>
      </c>
    </row>
    <row r="63">
      <c r="A63" s="29">
        <f>10000/B63</f>
        <v/>
      </c>
      <c r="B63" s="29" t="n">
        <v>17.723</v>
      </c>
      <c r="C63" s="28" t="n">
        <v>1.298</v>
      </c>
      <c r="D63" s="29" t="n">
        <v>0.23831</v>
      </c>
    </row>
    <row r="64">
      <c r="A64" s="29">
        <f>10000/B64</f>
        <v/>
      </c>
      <c r="B64" s="29" t="n">
        <v>17.531</v>
      </c>
      <c r="C64" s="28" t="n">
        <v>1.3206</v>
      </c>
      <c r="D64" s="29" t="n">
        <v>0.22173</v>
      </c>
    </row>
    <row r="65">
      <c r="A65" s="29">
        <f>10000/B65</f>
        <v/>
      </c>
      <c r="B65" s="29" t="n">
        <v>17.343</v>
      </c>
      <c r="C65" s="28" t="n">
        <v>1.3417</v>
      </c>
      <c r="D65" s="29" t="n">
        <v>0.20603</v>
      </c>
    </row>
    <row r="66">
      <c r="A66" s="29">
        <f>10000/B66</f>
        <v/>
      </c>
      <c r="B66" s="29" t="n">
        <v>17.159</v>
      </c>
      <c r="C66" s="28" t="n">
        <v>1.3616</v>
      </c>
      <c r="D66" s="29" t="n">
        <v>0.19112</v>
      </c>
    </row>
    <row r="67">
      <c r="A67" s="29">
        <f>10000/B67</f>
        <v/>
      </c>
      <c r="B67" s="29" t="n">
        <v>16.98</v>
      </c>
      <c r="C67" s="28" t="n">
        <v>1.3806</v>
      </c>
      <c r="D67" s="29" t="n">
        <v>0.17695</v>
      </c>
    </row>
    <row r="68">
      <c r="A68" s="29">
        <f>10000/B68</f>
        <v/>
      </c>
      <c r="B68" s="29" t="n">
        <v>16.803</v>
      </c>
      <c r="C68" s="28" t="n">
        <v>1.399</v>
      </c>
      <c r="D68" s="29" t="n">
        <v>0.16348</v>
      </c>
    </row>
    <row r="69">
      <c r="A69" s="29">
        <f>10000/B69</f>
        <v/>
      </c>
      <c r="B69" s="29" t="n">
        <v>16.631</v>
      </c>
      <c r="C69" s="28" t="n">
        <v>1.417</v>
      </c>
      <c r="D69" s="29" t="n">
        <v>0.15069</v>
      </c>
    </row>
    <row r="70">
      <c r="A70" s="29">
        <f>10000/B70</f>
        <v/>
      </c>
      <c r="B70" s="29" t="n">
        <v>16.462</v>
      </c>
      <c r="C70" s="28" t="n">
        <v>1.4347</v>
      </c>
      <c r="D70" s="29" t="n">
        <v>0.13857</v>
      </c>
    </row>
    <row r="71">
      <c r="A71" s="29">
        <f>10000/B71</f>
        <v/>
      </c>
      <c r="B71" s="29" t="n">
        <v>16.296</v>
      </c>
      <c r="C71" s="28" t="n">
        <v>1.4522</v>
      </c>
      <c r="D71" s="29" t="n">
        <v>0.12711</v>
      </c>
    </row>
    <row r="72">
      <c r="A72" s="29">
        <f>10000/B72</f>
        <v/>
      </c>
      <c r="B72" s="29" t="n">
        <v>16.134</v>
      </c>
      <c r="C72" s="28" t="n">
        <v>1.4696</v>
      </c>
      <c r="D72" s="29" t="n">
        <v>0.1163</v>
      </c>
    </row>
    <row r="73">
      <c r="A73" s="29">
        <f>10000/B73</f>
        <v/>
      </c>
      <c r="B73" s="29" t="n">
        <v>15.975</v>
      </c>
      <c r="C73" s="28" t="n">
        <v>1.4871</v>
      </c>
      <c r="D73" s="29" t="n">
        <v>0.10615</v>
      </c>
    </row>
    <row r="74">
      <c r="A74" s="29">
        <f>10000/B74</f>
        <v/>
      </c>
      <c r="B74" s="29" t="n">
        <v>15.819</v>
      </c>
      <c r="C74" s="28" t="n">
        <v>1.5046</v>
      </c>
      <c r="D74" s="29" t="n">
        <v>0.096651</v>
      </c>
    </row>
    <row r="75">
      <c r="A75" s="29">
        <f>10000/B75</f>
        <v/>
      </c>
      <c r="B75" s="29" t="n">
        <v>15.666</v>
      </c>
      <c r="C75" s="28" t="n">
        <v>1.5223</v>
      </c>
      <c r="D75" s="29" t="n">
        <v>0.087797</v>
      </c>
    </row>
    <row r="76">
      <c r="A76" s="29">
        <f>10000/B76</f>
        <v/>
      </c>
      <c r="B76" s="29" t="n">
        <v>15.516</v>
      </c>
      <c r="C76" s="28" t="n">
        <v>1.5402</v>
      </c>
      <c r="D76" s="29" t="n">
        <v>0.079595</v>
      </c>
    </row>
    <row r="77">
      <c r="A77" s="29">
        <f>10000/B77</f>
        <v/>
      </c>
      <c r="B77" s="29" t="n">
        <v>15.368</v>
      </c>
      <c r="C77" s="28" t="n">
        <v>1.5584</v>
      </c>
      <c r="D77" s="29" t="n">
        <v>0.07205499999999999</v>
      </c>
    </row>
    <row r="78">
      <c r="A78" s="29">
        <f>10000/B78</f>
        <v/>
      </c>
      <c r="B78" s="29" t="n">
        <v>15.224</v>
      </c>
      <c r="C78" s="28" t="n">
        <v>1.5769</v>
      </c>
      <c r="D78" s="29" t="n">
        <v>0.065201</v>
      </c>
    </row>
    <row r="79">
      <c r="A79" s="29">
        <f>10000/B79</f>
        <v/>
      </c>
      <c r="B79" s="29" t="n">
        <v>15.082</v>
      </c>
      <c r="C79" s="28" t="n">
        <v>1.596</v>
      </c>
      <c r="D79" s="29" t="n">
        <v>0.05908</v>
      </c>
    </row>
    <row r="80">
      <c r="A80" s="29">
        <f>10000/B80</f>
        <v/>
      </c>
      <c r="B80" s="29" t="n">
        <v>14.943</v>
      </c>
      <c r="C80" s="28" t="n">
        <v>1.6156</v>
      </c>
      <c r="D80" s="29" t="n">
        <v>0.053765</v>
      </c>
    </row>
    <row r="81">
      <c r="A81" s="29">
        <f>10000/B81</f>
        <v/>
      </c>
      <c r="B81" s="29" t="n">
        <v>14.807</v>
      </c>
      <c r="C81" s="28" t="n">
        <v>1.636</v>
      </c>
      <c r="D81" s="29" t="n">
        <v>0.04937</v>
      </c>
    </row>
    <row r="82">
      <c r="A82" s="29">
        <f>10000/B82</f>
        <v/>
      </c>
      <c r="B82" s="29" t="n">
        <v>14.672</v>
      </c>
      <c r="C82" s="28" t="n">
        <v>1.6571</v>
      </c>
      <c r="D82" s="29" t="n">
        <v>0.046059</v>
      </c>
    </row>
    <row r="83">
      <c r="A83" s="29">
        <f>10000/B83</f>
        <v/>
      </c>
      <c r="B83" s="29" t="n">
        <v>14.541</v>
      </c>
      <c r="C83" s="28" t="n">
        <v>1.6791</v>
      </c>
      <c r="D83" s="29" t="n">
        <v>0.044055</v>
      </c>
    </row>
    <row r="84">
      <c r="A84" s="29">
        <f>10000/B84</f>
        <v/>
      </c>
      <c r="B84" s="29" t="n">
        <v>14.411</v>
      </c>
      <c r="C84" s="28" t="n">
        <v>1.7019</v>
      </c>
      <c r="D84" s="29" t="n">
        <v>0.043644</v>
      </c>
    </row>
    <row r="85">
      <c r="A85" s="29">
        <f>10000/B85</f>
        <v/>
      </c>
      <c r="B85" s="29" t="n">
        <v>14.284</v>
      </c>
      <c r="C85" s="28" t="n">
        <v>1.7257</v>
      </c>
      <c r="D85" s="29" t="n">
        <v>0.045171</v>
      </c>
    </row>
    <row r="86">
      <c r="A86" s="29">
        <f>10000/B86</f>
        <v/>
      </c>
      <c r="B86" s="29" t="n">
        <v>14.159</v>
      </c>
      <c r="C86" s="28" t="n">
        <v>1.7502</v>
      </c>
      <c r="D86" s="29" t="n">
        <v>0.049029</v>
      </c>
    </row>
    <row r="87">
      <c r="A87" s="29">
        <f>10000/B87</f>
        <v/>
      </c>
      <c r="B87" s="29" t="n">
        <v>14.037</v>
      </c>
      <c r="C87" s="28" t="n">
        <v>1.7752</v>
      </c>
      <c r="D87" s="29" t="n">
        <v>0.055635</v>
      </c>
    </row>
    <row r="88">
      <c r="A88" s="29">
        <f>10000/B88</f>
        <v/>
      </c>
      <c r="B88" s="29" t="n">
        <v>13.916</v>
      </c>
      <c r="C88" s="28" t="n">
        <v>1.8003</v>
      </c>
      <c r="D88" s="29" t="n">
        <v>0.065388</v>
      </c>
    </row>
    <row r="89">
      <c r="A89" s="29">
        <f>10000/B89</f>
        <v/>
      </c>
      <c r="B89" s="29" t="n">
        <v>13.798</v>
      </c>
      <c r="C89" s="28" t="n">
        <v>1.8249</v>
      </c>
      <c r="D89" s="29" t="n">
        <v>0.078627</v>
      </c>
    </row>
    <row r="90">
      <c r="A90" s="29">
        <f>10000/B90</f>
        <v/>
      </c>
      <c r="B90" s="29" t="n">
        <v>13.681</v>
      </c>
      <c r="C90" s="28" t="n">
        <v>1.8483</v>
      </c>
      <c r="D90" s="29" t="n">
        <v>0.095571</v>
      </c>
    </row>
    <row r="91">
      <c r="A91" s="29">
        <f>10000/B91</f>
        <v/>
      </c>
      <c r="B91" s="29" t="n">
        <v>13.566</v>
      </c>
      <c r="C91" s="28" t="n">
        <v>1.8696</v>
      </c>
      <c r="D91" s="29" t="n">
        <v>0.11627</v>
      </c>
    </row>
    <row r="92">
      <c r="A92" s="29">
        <f>10000/B92</f>
        <v/>
      </c>
      <c r="B92" s="29" t="n">
        <v>13.454</v>
      </c>
      <c r="C92" s="28" t="n">
        <v>1.888</v>
      </c>
      <c r="D92" s="29" t="n">
        <v>0.14054</v>
      </c>
    </row>
    <row r="93">
      <c r="A93" s="29">
        <f>10000/B93</f>
        <v/>
      </c>
      <c r="B93" s="29" t="n">
        <v>13.343</v>
      </c>
      <c r="C93" s="28" t="n">
        <v>1.9026</v>
      </c>
      <c r="D93" s="29" t="n">
        <v>0.16796</v>
      </c>
    </row>
    <row r="94">
      <c r="A94" s="29">
        <f>10000/B94</f>
        <v/>
      </c>
      <c r="B94" s="29" t="n">
        <v>13.234</v>
      </c>
      <c r="C94" s="28" t="n">
        <v>1.9123</v>
      </c>
      <c r="D94" s="29" t="n">
        <v>0.19781</v>
      </c>
    </row>
    <row r="95">
      <c r="A95" s="29">
        <f>10000/B95</f>
        <v/>
      </c>
      <c r="B95" s="29" t="n">
        <v>13.127</v>
      </c>
      <c r="C95" s="28" t="n">
        <v>1.9166</v>
      </c>
      <c r="D95" s="29" t="n">
        <v>0.22912</v>
      </c>
    </row>
    <row r="96">
      <c r="A96" s="29">
        <f>10000/B96</f>
        <v/>
      </c>
      <c r="B96" s="29" t="n">
        <v>13.021</v>
      </c>
      <c r="C96" s="28" t="n">
        <v>1.9148</v>
      </c>
      <c r="D96" s="29" t="n">
        <v>0.26066</v>
      </c>
    </row>
    <row r="97">
      <c r="A97" s="29">
        <f>10000/B97</f>
        <v/>
      </c>
      <c r="B97" s="29" t="n">
        <v>12.917</v>
      </c>
      <c r="C97" s="28" t="n">
        <v>1.9068</v>
      </c>
      <c r="D97" s="29" t="n">
        <v>0.29102</v>
      </c>
    </row>
    <row r="98">
      <c r="A98" s="29">
        <f>10000/B98</f>
        <v/>
      </c>
      <c r="B98" s="29" t="n">
        <v>12.815</v>
      </c>
      <c r="C98" s="28" t="n">
        <v>1.8928</v>
      </c>
      <c r="D98" s="29" t="n">
        <v>0.31869</v>
      </c>
    </row>
    <row r="99">
      <c r="A99" s="29">
        <f>10000/B99</f>
        <v/>
      </c>
      <c r="B99" s="29" t="n">
        <v>12.714</v>
      </c>
      <c r="C99" s="28" t="n">
        <v>1.8732</v>
      </c>
      <c r="D99" s="29" t="n">
        <v>0.34215</v>
      </c>
    </row>
    <row r="100">
      <c r="A100" s="29">
        <f>10000/B100</f>
        <v/>
      </c>
      <c r="B100" s="29" t="n">
        <v>12.615</v>
      </c>
      <c r="C100" s="28" t="n">
        <v>1.8491</v>
      </c>
      <c r="D100" s="29" t="n">
        <v>0.35998</v>
      </c>
    </row>
    <row r="101">
      <c r="A101" s="29">
        <f>10000/B101</f>
        <v/>
      </c>
      <c r="B101" s="29" t="n">
        <v>12.518</v>
      </c>
      <c r="C101" s="28" t="n">
        <v>1.8219</v>
      </c>
      <c r="D101" s="29" t="n">
        <v>0.37101</v>
      </c>
    </row>
    <row r="102">
      <c r="A102" s="29">
        <f>10000/B102</f>
        <v/>
      </c>
      <c r="B102" s="29" t="n">
        <v>12.422</v>
      </c>
      <c r="C102" s="28" t="n">
        <v>1.7934</v>
      </c>
      <c r="D102" s="29" t="n">
        <v>0.37444</v>
      </c>
    </row>
    <row r="103">
      <c r="A103" s="29">
        <f>10000/B103</f>
        <v/>
      </c>
      <c r="B103" s="29" t="n">
        <v>12.327</v>
      </c>
      <c r="C103" s="28" t="n">
        <v>1.7654</v>
      </c>
      <c r="D103" s="29" t="n">
        <v>0.36994</v>
      </c>
    </row>
    <row r="104">
      <c r="A104" s="29">
        <f>10000/B104</f>
        <v/>
      </c>
      <c r="B104" s="29" t="n">
        <v>12.234</v>
      </c>
      <c r="C104" s="28" t="n">
        <v>1.7403</v>
      </c>
      <c r="D104" s="29" t="n">
        <v>0.3578</v>
      </c>
    </row>
    <row r="105">
      <c r="A105" s="29">
        <f>10000/B105</f>
        <v/>
      </c>
      <c r="B105" s="29" t="n">
        <v>12.143</v>
      </c>
      <c r="C105" s="28" t="n">
        <v>1.7198</v>
      </c>
      <c r="D105" s="29" t="n">
        <v>0.33894</v>
      </c>
    </row>
    <row r="106">
      <c r="A106" s="29">
        <f>10000/B106</f>
        <v/>
      </c>
      <c r="B106" s="29" t="n">
        <v>12.052</v>
      </c>
      <c r="C106" s="28" t="n">
        <v>1.7058</v>
      </c>
      <c r="D106" s="29" t="n">
        <v>0.3149</v>
      </c>
    </row>
    <row r="107">
      <c r="A107" s="29">
        <f>10000/B107</f>
        <v/>
      </c>
      <c r="B107" s="29" t="n">
        <v>11.963</v>
      </c>
      <c r="C107" s="28" t="n">
        <v>1.6993</v>
      </c>
      <c r="D107" s="29" t="n">
        <v>0.28765</v>
      </c>
    </row>
    <row r="108">
      <c r="A108" s="29">
        <f>10000/B108</f>
        <v/>
      </c>
      <c r="B108" s="29" t="n">
        <v>11.876</v>
      </c>
      <c r="C108" s="28" t="n">
        <v>1.7006</v>
      </c>
      <c r="D108" s="29" t="n">
        <v>0.2594</v>
      </c>
    </row>
    <row r="109">
      <c r="A109" s="29">
        <f>10000/B109</f>
        <v/>
      </c>
      <c r="B109" s="29" t="n">
        <v>11.789</v>
      </c>
      <c r="C109" s="28" t="n">
        <v>1.7094</v>
      </c>
      <c r="D109" s="29" t="n">
        <v>0.23225</v>
      </c>
    </row>
    <row r="110">
      <c r="A110" s="29">
        <f>10000/B110</f>
        <v/>
      </c>
      <c r="B110" s="29" t="n">
        <v>11.704</v>
      </c>
      <c r="C110" s="28" t="n">
        <v>1.7247</v>
      </c>
      <c r="D110" s="29" t="n">
        <v>0.20794</v>
      </c>
    </row>
    <row r="111">
      <c r="A111" s="29">
        <f>10000/B111</f>
        <v/>
      </c>
      <c r="B111" s="29" t="n">
        <v>11.62</v>
      </c>
      <c r="C111" s="28" t="n">
        <v>1.7452</v>
      </c>
      <c r="D111" s="29" t="n">
        <v>0.18766</v>
      </c>
    </row>
    <row r="112">
      <c r="A112" s="29">
        <f>10000/B112</f>
        <v/>
      </c>
      <c r="B112" s="29" t="n">
        <v>11.537</v>
      </c>
      <c r="C112" s="28" t="n">
        <v>1.7693</v>
      </c>
      <c r="D112" s="29" t="n">
        <v>0.17201</v>
      </c>
    </row>
    <row r="113">
      <c r="A113" s="29">
        <f>10000/B113</f>
        <v/>
      </c>
      <c r="B113" s="29" t="n">
        <v>11.456</v>
      </c>
      <c r="C113" s="28" t="n">
        <v>1.7956</v>
      </c>
      <c r="D113" s="29" t="n">
        <v>0.16111</v>
      </c>
    </row>
    <row r="114">
      <c r="A114" s="29">
        <f>10000/B114</f>
        <v/>
      </c>
      <c r="B114" s="29" t="n">
        <v>11.375</v>
      </c>
      <c r="C114" s="28" t="n">
        <v>1.823</v>
      </c>
      <c r="D114" s="29" t="n">
        <v>0.15468</v>
      </c>
    </row>
    <row r="115">
      <c r="A115" s="29">
        <f>10000/B115</f>
        <v/>
      </c>
      <c r="B115" s="29" t="n">
        <v>11.296</v>
      </c>
      <c r="C115" s="28" t="n">
        <v>1.8507</v>
      </c>
      <c r="D115" s="29" t="n">
        <v>0.1522</v>
      </c>
    </row>
    <row r="116">
      <c r="A116" s="29">
        <f>10000/B116</f>
        <v/>
      </c>
      <c r="B116" s="29" t="n">
        <v>11.218</v>
      </c>
      <c r="C116" s="28" t="n">
        <v>1.8779</v>
      </c>
      <c r="D116" s="29" t="n">
        <v>0.15307</v>
      </c>
    </row>
    <row r="117">
      <c r="A117" s="29">
        <f>10000/B117</f>
        <v/>
      </c>
      <c r="B117" s="29" t="n">
        <v>11.14</v>
      </c>
      <c r="C117" s="28" t="n">
        <v>1.9043</v>
      </c>
      <c r="D117" s="29" t="n">
        <v>0.15662</v>
      </c>
    </row>
    <row r="118">
      <c r="A118" s="29">
        <f>10000/B118</f>
        <v/>
      </c>
      <c r="B118" s="29" t="n">
        <v>11.064</v>
      </c>
      <c r="C118" s="28" t="n">
        <v>1.9299</v>
      </c>
      <c r="D118" s="29" t="n">
        <v>0.16225</v>
      </c>
    </row>
    <row r="119">
      <c r="A119" s="29">
        <f>10000/B119</f>
        <v/>
      </c>
      <c r="B119" s="29" t="n">
        <v>10.989</v>
      </c>
      <c r="C119" s="28" t="n">
        <v>1.9547</v>
      </c>
      <c r="D119" s="29" t="n">
        <v>0.16942</v>
      </c>
    </row>
    <row r="120">
      <c r="A120" s="29">
        <f>10000/B120</f>
        <v/>
      </c>
      <c r="B120" s="29" t="n">
        <v>10.915</v>
      </c>
      <c r="C120" s="28" t="n">
        <v>1.9787</v>
      </c>
      <c r="D120" s="29" t="n">
        <v>0.17764</v>
      </c>
    </row>
    <row r="121">
      <c r="A121" s="29">
        <f>10000/B121</f>
        <v/>
      </c>
      <c r="B121" s="29" t="n">
        <v>10.842</v>
      </c>
      <c r="C121" s="28" t="n">
        <v>2.0023</v>
      </c>
      <c r="D121" s="29" t="n">
        <v>0.18652</v>
      </c>
    </row>
    <row r="122">
      <c r="A122" s="29">
        <f>10000/B122</f>
        <v/>
      </c>
      <c r="B122" s="29" t="n">
        <v>10.77</v>
      </c>
      <c r="C122" s="28" t="n">
        <v>2.0258</v>
      </c>
      <c r="D122" s="29" t="n">
        <v>0.19574</v>
      </c>
    </row>
    <row r="123">
      <c r="A123" s="29">
        <f>10000/B123</f>
        <v/>
      </c>
      <c r="B123" s="29" t="n">
        <v>10.699</v>
      </c>
      <c r="C123" s="28" t="n">
        <v>2.0496</v>
      </c>
      <c r="D123" s="29" t="n">
        <v>0.20501</v>
      </c>
    </row>
    <row r="124">
      <c r="A124" s="29">
        <f>10000/B124</f>
        <v/>
      </c>
      <c r="B124" s="29" t="n">
        <v>10.629</v>
      </c>
      <c r="C124" s="28" t="n">
        <v>2.0742</v>
      </c>
      <c r="D124" s="29" t="n">
        <v>0.21413</v>
      </c>
    </row>
    <row r="125">
      <c r="A125" s="29">
        <f>10000/B125</f>
        <v/>
      </c>
      <c r="B125" s="29" t="n">
        <v>10.559</v>
      </c>
      <c r="C125" s="28" t="n">
        <v>2.1002</v>
      </c>
      <c r="D125" s="29" t="n">
        <v>0.22291</v>
      </c>
    </row>
    <row r="126">
      <c r="A126" s="29">
        <f>10000/B126</f>
        <v/>
      </c>
      <c r="B126" s="29" t="n">
        <v>10.491</v>
      </c>
      <c r="C126" s="28" t="n">
        <v>2.1286</v>
      </c>
      <c r="D126" s="29" t="n">
        <v>0.23132</v>
      </c>
    </row>
    <row r="127">
      <c r="A127" s="29">
        <f>10000/B127</f>
        <v/>
      </c>
      <c r="B127" s="29" t="n">
        <v>10.424</v>
      </c>
      <c r="C127" s="28" t="n">
        <v>2.1602</v>
      </c>
      <c r="D127" s="29" t="n">
        <v>0.23944</v>
      </c>
    </row>
    <row r="128">
      <c r="A128" s="29">
        <f>10000/B128</f>
        <v/>
      </c>
      <c r="B128" s="29" t="n">
        <v>10.357</v>
      </c>
      <c r="C128" s="28" t="n">
        <v>2.1966</v>
      </c>
      <c r="D128" s="29" t="n">
        <v>0.24772</v>
      </c>
    </row>
    <row r="129">
      <c r="A129" s="29">
        <f>10000/B129</f>
        <v/>
      </c>
      <c r="B129" s="29" t="n">
        <v>10.291</v>
      </c>
      <c r="C129" s="28" t="n">
        <v>2.2393</v>
      </c>
      <c r="D129" s="29" t="n">
        <v>0.25711</v>
      </c>
    </row>
    <row r="130">
      <c r="A130" s="29">
        <f>10000/B130</f>
        <v/>
      </c>
      <c r="B130" s="29" t="n">
        <v>10.226</v>
      </c>
      <c r="C130" s="28" t="n">
        <v>2.29</v>
      </c>
      <c r="D130" s="29" t="n">
        <v>0.26937</v>
      </c>
    </row>
    <row r="131">
      <c r="A131" s="29">
        <f>10000/B131</f>
        <v/>
      </c>
      <c r="B131" s="29" t="n">
        <v>10.162</v>
      </c>
      <c r="C131" s="28" t="n">
        <v>2.3502</v>
      </c>
      <c r="D131" s="29" t="n">
        <v>0.2873</v>
      </c>
    </row>
    <row r="132">
      <c r="A132" s="29">
        <f>10000/B132</f>
        <v/>
      </c>
      <c r="B132" s="29" t="n">
        <v>10.099</v>
      </c>
      <c r="C132" s="28" t="n">
        <v>2.4206</v>
      </c>
      <c r="D132" s="29" t="n">
        <v>0.31485</v>
      </c>
    </row>
    <row r="133">
      <c r="A133" s="29">
        <f>10000/B133</f>
        <v/>
      </c>
      <c r="B133" s="29" t="n">
        <v>10.036</v>
      </c>
      <c r="C133" s="28" t="n">
        <v>2.5005</v>
      </c>
      <c r="D133" s="29" t="n">
        <v>0.35692</v>
      </c>
    </row>
    <row r="134">
      <c r="A134" s="29">
        <f>10000/B134</f>
        <v/>
      </c>
      <c r="B134" s="29" t="n">
        <v>9.9742</v>
      </c>
      <c r="C134" s="28" t="n">
        <v>2.5871</v>
      </c>
      <c r="D134" s="29" t="n">
        <v>0.41876</v>
      </c>
    </row>
    <row r="135">
      <c r="A135" s="29">
        <f>10000/B135</f>
        <v/>
      </c>
      <c r="B135" s="29" t="n">
        <v>9.9132</v>
      </c>
      <c r="C135" s="28" t="n">
        <v>2.6753</v>
      </c>
      <c r="D135" s="29" t="n">
        <v>0.50502</v>
      </c>
    </row>
    <row r="136">
      <c r="A136" s="29">
        <f>10000/B136</f>
        <v/>
      </c>
      <c r="B136" s="29" t="n">
        <v>9.8529</v>
      </c>
      <c r="C136" s="28" t="n">
        <v>2.7576</v>
      </c>
      <c r="D136" s="29" t="n">
        <v>0.61871</v>
      </c>
    </row>
    <row r="137">
      <c r="A137" s="29">
        <f>10000/B137</f>
        <v/>
      </c>
      <c r="B137" s="29" t="n">
        <v>9.7933</v>
      </c>
      <c r="C137" s="28" t="n">
        <v>2.8254</v>
      </c>
      <c r="D137" s="29" t="n">
        <v>0.76014</v>
      </c>
    </row>
    <row r="138">
      <c r="A138" s="29">
        <f>10000/B138</f>
        <v/>
      </c>
      <c r="B138" s="29" t="n">
        <v>9.734500000000001</v>
      </c>
      <c r="C138" s="28" t="n">
        <v>2.8694</v>
      </c>
      <c r="D138" s="29" t="n">
        <v>0.92626</v>
      </c>
    </row>
    <row r="139">
      <c r="A139" s="29">
        <f>10000/B139</f>
        <v/>
      </c>
      <c r="B139" s="29" t="n">
        <v>9.676299999999999</v>
      </c>
      <c r="C139" s="28" t="n">
        <v>2.8812</v>
      </c>
      <c r="D139" s="29" t="n">
        <v>1.1103</v>
      </c>
    </row>
    <row r="140">
      <c r="A140" s="29">
        <f>10000/B140</f>
        <v/>
      </c>
      <c r="B140" s="29" t="n">
        <v>9.6188</v>
      </c>
      <c r="C140" s="28" t="n">
        <v>2.8553</v>
      </c>
      <c r="D140" s="29" t="n">
        <v>1.3022</v>
      </c>
    </row>
    <row r="141">
      <c r="A141" s="29">
        <f>10000/B141</f>
        <v/>
      </c>
      <c r="B141" s="29" t="n">
        <v>9.562099999999999</v>
      </c>
      <c r="C141" s="28" t="n">
        <v>2.7906</v>
      </c>
      <c r="D141" s="29" t="n">
        <v>1.4893</v>
      </c>
    </row>
    <row r="142">
      <c r="A142" s="29">
        <f>10000/B142</f>
        <v/>
      </c>
      <c r="B142" s="29" t="n">
        <v>9.5059</v>
      </c>
      <c r="C142" s="28" t="n">
        <v>2.6929</v>
      </c>
      <c r="D142" s="29" t="n">
        <v>1.6587</v>
      </c>
    </row>
    <row r="143">
      <c r="A143" s="29">
        <f>10000/B143</f>
        <v/>
      </c>
      <c r="B143" s="29" t="n">
        <v>9.4505</v>
      </c>
      <c r="C143" s="28" t="n">
        <v>2.5753</v>
      </c>
      <c r="D143" s="29" t="n">
        <v>1.8023</v>
      </c>
    </row>
    <row r="144">
      <c r="A144" s="29">
        <f>10000/B144</f>
        <v/>
      </c>
      <c r="B144" s="29" t="n">
        <v>9.3957</v>
      </c>
      <c r="C144" s="28" t="n">
        <v>2.4551</v>
      </c>
      <c r="D144" s="29" t="n">
        <v>1.9245</v>
      </c>
    </row>
    <row r="145">
      <c r="A145" s="29">
        <f>10000/B145</f>
        <v/>
      </c>
      <c r="B145" s="29" t="n">
        <v>9.3415</v>
      </c>
      <c r="C145" s="28" t="n">
        <v>2.3404</v>
      </c>
      <c r="D145" s="29" t="n">
        <v>2.0446</v>
      </c>
    </row>
    <row r="146">
      <c r="A146" s="29">
        <f>10000/B146</f>
        <v/>
      </c>
      <c r="B146" s="29" t="n">
        <v>9.2879</v>
      </c>
      <c r="C146" s="28" t="n">
        <v>2.2149</v>
      </c>
      <c r="D146" s="29" t="n">
        <v>2.1853</v>
      </c>
    </row>
    <row r="147">
      <c r="A147" s="29">
        <f>10000/B147</f>
        <v/>
      </c>
      <c r="B147" s="29" t="n">
        <v>9.234999999999999</v>
      </c>
      <c r="C147" s="28" t="n">
        <v>2.0418</v>
      </c>
      <c r="D147" s="29" t="n">
        <v>2.3453</v>
      </c>
    </row>
    <row r="148">
      <c r="A148" s="29">
        <f>10000/B148</f>
        <v/>
      </c>
      <c r="B148" s="29" t="n">
        <v>9.182600000000001</v>
      </c>
      <c r="C148" s="28" t="n">
        <v>1.7934</v>
      </c>
      <c r="D148" s="29" t="n">
        <v>2.4883</v>
      </c>
    </row>
    <row r="149">
      <c r="A149" s="29">
        <f>10000/B149</f>
        <v/>
      </c>
      <c r="B149" s="29" t="n">
        <v>9.130800000000001</v>
      </c>
      <c r="C149" s="28" t="n">
        <v>1.4777</v>
      </c>
      <c r="D149" s="29" t="n">
        <v>2.5619</v>
      </c>
    </row>
    <row r="150">
      <c r="A150" s="29">
        <f>10000/B150</f>
        <v/>
      </c>
      <c r="B150" s="29" t="n">
        <v>9.079700000000001</v>
      </c>
      <c r="C150" s="28" t="n">
        <v>1.1392</v>
      </c>
      <c r="D150" s="29" t="n">
        <v>2.531</v>
      </c>
    </row>
    <row r="151">
      <c r="A151" s="29">
        <f>10000/B151</f>
        <v/>
      </c>
      <c r="B151" s="29" t="n">
        <v>9.029</v>
      </c>
      <c r="C151" s="28" t="n">
        <v>0.83443</v>
      </c>
      <c r="D151" s="29" t="n">
        <v>2.3972</v>
      </c>
    </row>
    <row r="152">
      <c r="A152" s="29">
        <f>10000/B152</f>
        <v/>
      </c>
      <c r="B152" s="29" t="n">
        <v>8.978999999999999</v>
      </c>
      <c r="C152" s="28" t="n">
        <v>0.60421</v>
      </c>
      <c r="D152" s="29" t="n">
        <v>2.1947</v>
      </c>
    </row>
    <row r="153">
      <c r="A153" s="29">
        <f>10000/B153</f>
        <v/>
      </c>
      <c r="B153" s="29" t="n">
        <v>8.929500000000001</v>
      </c>
      <c r="C153" s="28" t="n">
        <v>0.45931</v>
      </c>
      <c r="D153" s="29" t="n">
        <v>1.9693</v>
      </c>
    </row>
    <row r="154">
      <c r="A154" s="29">
        <f>10000/B154</f>
        <v/>
      </c>
      <c r="B154" s="29" t="n">
        <v>8.8805</v>
      </c>
      <c r="C154" s="28" t="n">
        <v>0.38509</v>
      </c>
      <c r="D154" s="29" t="n">
        <v>1.7568</v>
      </c>
    </row>
    <row r="155">
      <c r="A155" s="29">
        <f>10000/B155</f>
        <v/>
      </c>
      <c r="B155" s="29" t="n">
        <v>8.832100000000001</v>
      </c>
      <c r="C155" s="28" t="n">
        <v>0.35737</v>
      </c>
      <c r="D155" s="29" t="n">
        <v>1.5739</v>
      </c>
    </row>
    <row r="156">
      <c r="A156" s="29">
        <f>10000/B156</f>
        <v/>
      </c>
      <c r="B156" s="29" t="n">
        <v>8.7842</v>
      </c>
      <c r="C156" s="28" t="n">
        <v>0.3558</v>
      </c>
      <c r="D156" s="29" t="n">
        <v>1.4221</v>
      </c>
    </row>
    <row r="157">
      <c r="A157" s="29">
        <f>10000/B157</f>
        <v/>
      </c>
      <c r="B157" s="29" t="n">
        <v>8.736800000000001</v>
      </c>
      <c r="C157" s="28" t="n">
        <v>0.36786</v>
      </c>
      <c r="D157" s="29" t="n">
        <v>1.2973</v>
      </c>
    </row>
    <row r="158">
      <c r="A158" s="29">
        <f>10000/B158</f>
        <v/>
      </c>
      <c r="B158" s="29" t="n">
        <v>8.69</v>
      </c>
      <c r="C158" s="28" t="n">
        <v>0.38657</v>
      </c>
      <c r="D158" s="29" t="n">
        <v>1.1948</v>
      </c>
    </row>
    <row r="159">
      <c r="A159" s="29">
        <f>10000/B159</f>
        <v/>
      </c>
      <c r="B159" s="29" t="n">
        <v>8.643599999999999</v>
      </c>
      <c r="C159" s="28" t="n">
        <v>0.40757</v>
      </c>
      <c r="D159" s="29" t="n">
        <v>1.1106</v>
      </c>
    </row>
    <row r="160">
      <c r="A160" s="29">
        <f>10000/B160</f>
        <v/>
      </c>
      <c r="B160" s="29" t="n">
        <v>8.5977</v>
      </c>
      <c r="C160" s="28" t="n">
        <v>0.4278</v>
      </c>
      <c r="D160" s="29" t="n">
        <v>1.0416</v>
      </c>
    </row>
    <row r="161">
      <c r="A161" s="29">
        <f>10000/B161</f>
        <v/>
      </c>
      <c r="B161" s="29" t="n">
        <v>8.552300000000001</v>
      </c>
      <c r="C161" s="28" t="n">
        <v>0.44503</v>
      </c>
      <c r="D161" s="29" t="n">
        <v>0.98454</v>
      </c>
    </row>
    <row r="162">
      <c r="A162" s="29">
        <f>10000/B162</f>
        <v/>
      </c>
      <c r="B162" s="29" t="n">
        <v>8.507400000000001</v>
      </c>
      <c r="C162" s="28" t="n">
        <v>0.45782</v>
      </c>
      <c r="D162" s="29" t="n">
        <v>0.9366</v>
      </c>
    </row>
    <row r="163">
      <c r="A163" s="29">
        <f>10000/B163</f>
        <v/>
      </c>
      <c r="B163" s="29" t="n">
        <v>8.462899999999999</v>
      </c>
      <c r="C163" s="28" t="n">
        <v>0.46539</v>
      </c>
      <c r="D163" s="29" t="n">
        <v>0.89502</v>
      </c>
    </row>
    <row r="164">
      <c r="A164" s="29">
        <f>10000/B164</f>
        <v/>
      </c>
      <c r="B164" s="29" t="n">
        <v>8.419</v>
      </c>
      <c r="C164" s="28" t="n">
        <v>0.46753</v>
      </c>
      <c r="D164" s="29" t="n">
        <v>0.85729</v>
      </c>
    </row>
    <row r="165">
      <c r="A165" s="29">
        <f>10000/B165</f>
        <v/>
      </c>
      <c r="B165" s="29" t="n">
        <v>8.375400000000001</v>
      </c>
      <c r="C165" s="28" t="n">
        <v>0.46448</v>
      </c>
      <c r="D165" s="29" t="n">
        <v>0.82122</v>
      </c>
    </row>
    <row r="166">
      <c r="A166" s="29">
        <f>10000/B166</f>
        <v/>
      </c>
      <c r="B166" s="29" t="n">
        <v>8.3323</v>
      </c>
      <c r="C166" s="28" t="n">
        <v>0.45683</v>
      </c>
      <c r="D166" s="29" t="n">
        <v>0.78491</v>
      </c>
    </row>
    <row r="167">
      <c r="A167" s="29">
        <f>10000/B167</f>
        <v/>
      </c>
      <c r="B167" s="29" t="n">
        <v>8.2897</v>
      </c>
      <c r="C167" s="28" t="n">
        <v>0.44543</v>
      </c>
      <c r="D167" s="29" t="n">
        <v>0.74674</v>
      </c>
    </row>
    <row r="168">
      <c r="A168" s="29">
        <f>10000/B168</f>
        <v/>
      </c>
      <c r="B168" s="29" t="n">
        <v>8.2475</v>
      </c>
      <c r="C168" s="28" t="n">
        <v>0.43136</v>
      </c>
      <c r="D168" s="29" t="n">
        <v>0.70534</v>
      </c>
    </row>
    <row r="169">
      <c r="A169" s="29">
        <f>10000/B169</f>
        <v/>
      </c>
      <c r="B169" s="29" t="n">
        <v>8.2057</v>
      </c>
      <c r="C169" s="28" t="n">
        <v>0.41588</v>
      </c>
      <c r="D169" s="29" t="n">
        <v>0.65957</v>
      </c>
    </row>
    <row r="170">
      <c r="A170" s="29">
        <f>10000/B170</f>
        <v/>
      </c>
      <c r="B170" s="29" t="n">
        <v>8.164300000000001</v>
      </c>
      <c r="C170" s="28" t="n">
        <v>0.40045</v>
      </c>
      <c r="D170" s="29" t="n">
        <v>0.60845</v>
      </c>
    </row>
    <row r="171">
      <c r="A171" s="29">
        <f>10000/B171</f>
        <v/>
      </c>
      <c r="B171" s="29" t="n">
        <v>8.1234</v>
      </c>
      <c r="C171" s="28" t="n">
        <v>0.38687</v>
      </c>
      <c r="D171" s="29" t="n">
        <v>0.55116</v>
      </c>
    </row>
    <row r="172">
      <c r="A172" s="29">
        <f>10000/B172</f>
        <v/>
      </c>
      <c r="B172" s="29" t="n">
        <v>8.0829</v>
      </c>
      <c r="C172" s="28" t="n">
        <v>0.37746</v>
      </c>
      <c r="D172" s="29" t="n">
        <v>0.48707</v>
      </c>
    </row>
    <row r="173">
      <c r="A173" s="29">
        <f>10000/B173</f>
        <v/>
      </c>
      <c r="B173" s="29" t="n">
        <v>8.0427</v>
      </c>
      <c r="C173" s="28" t="n">
        <v>0.37544</v>
      </c>
      <c r="D173" s="29" t="n">
        <v>0.41614</v>
      </c>
    </row>
    <row r="174">
      <c r="A174" s="29">
        <f>10000/B174</f>
        <v/>
      </c>
      <c r="B174" s="29" t="n">
        <v>8.003</v>
      </c>
      <c r="C174" s="28" t="n">
        <v>0.38515</v>
      </c>
      <c r="D174" s="29" t="n">
        <v>0.33993</v>
      </c>
    </row>
    <row r="175">
      <c r="A175" s="29">
        <f>10000/B175</f>
        <v/>
      </c>
      <c r="B175" s="29" t="n">
        <v>7.9636</v>
      </c>
      <c r="C175" s="28" t="n">
        <v>0.41083</v>
      </c>
      <c r="D175" s="29" t="n">
        <v>0.26352</v>
      </c>
    </row>
    <row r="176">
      <c r="A176" s="29">
        <f>10000/B176</f>
        <v/>
      </c>
      <c r="B176" s="29" t="n">
        <v>7.9247</v>
      </c>
      <c r="C176" s="28" t="n">
        <v>0.45235</v>
      </c>
      <c r="D176" s="29" t="n">
        <v>0.19549</v>
      </c>
    </row>
    <row r="177">
      <c r="A177" s="29">
        <f>10000/B177</f>
        <v/>
      </c>
      <c r="B177" s="29" t="n">
        <v>7.8861</v>
      </c>
      <c r="C177" s="28" t="n">
        <v>0.5031600000000001</v>
      </c>
      <c r="D177" s="29" t="n">
        <v>0.14196</v>
      </c>
    </row>
    <row r="178">
      <c r="A178" s="29">
        <f>10000/B178</f>
        <v/>
      </c>
      <c r="B178" s="29" t="n">
        <v>7.8479</v>
      </c>
      <c r="C178" s="28" t="n">
        <v>0.55577</v>
      </c>
      <c r="D178" s="29" t="n">
        <v>0.10281</v>
      </c>
    </row>
    <row r="179">
      <c r="A179" s="29">
        <f>10000/B179</f>
        <v/>
      </c>
      <c r="B179" s="29" t="n">
        <v>7.81</v>
      </c>
      <c r="C179" s="28" t="n">
        <v>0.60594</v>
      </c>
      <c r="D179" s="29" t="n">
        <v>0.07482999999999999</v>
      </c>
    </row>
    <row r="180">
      <c r="A180" s="29">
        <f>10000/B180</f>
        <v/>
      </c>
      <c r="B180" s="29" t="n">
        <v>7.7726</v>
      </c>
      <c r="C180" s="28" t="n">
        <v>0.65213</v>
      </c>
      <c r="D180" s="29" t="n">
        <v>0.054834</v>
      </c>
    </row>
    <row r="181">
      <c r="A181" s="29">
        <f>10000/B181</f>
        <v/>
      </c>
      <c r="B181" s="29" t="n">
        <v>7.7355</v>
      </c>
      <c r="C181" s="28" t="n">
        <v>0.69403</v>
      </c>
      <c r="D181" s="29" t="n">
        <v>0.040461</v>
      </c>
    </row>
    <row r="182">
      <c r="A182" s="29">
        <f>10000/B182</f>
        <v/>
      </c>
      <c r="B182" s="29" t="n">
        <v>7.6987</v>
      </c>
      <c r="C182" s="28" t="n">
        <v>0.73186</v>
      </c>
      <c r="D182" s="29" t="n">
        <v>0.030063</v>
      </c>
    </row>
    <row r="183">
      <c r="A183" s="29">
        <f>10000/B183</f>
        <v/>
      </c>
      <c r="B183" s="29" t="n">
        <v>7.6623</v>
      </c>
      <c r="C183" s="28" t="n">
        <v>0.7659899999999999</v>
      </c>
      <c r="D183" s="29" t="n">
        <v>0.022496</v>
      </c>
    </row>
    <row r="184">
      <c r="A184" s="29">
        <f>10000/B184</f>
        <v/>
      </c>
      <c r="B184" s="29" t="n">
        <v>7.6262</v>
      </c>
      <c r="C184" s="28" t="n">
        <v>0.79684</v>
      </c>
      <c r="D184" s="29" t="n">
        <v>0.016958</v>
      </c>
    </row>
    <row r="185">
      <c r="A185" s="29">
        <f>10000/B185</f>
        <v/>
      </c>
      <c r="B185" s="29" t="n">
        <v>7.5905</v>
      </c>
      <c r="C185" s="28" t="n">
        <v>0.8248</v>
      </c>
      <c r="D185" s="29" t="n">
        <v>0.012879</v>
      </c>
    </row>
    <row r="186">
      <c r="A186" s="29">
        <f>10000/B186</f>
        <v/>
      </c>
      <c r="B186" s="29" t="n">
        <v>7.555</v>
      </c>
      <c r="C186" s="28" t="n">
        <v>0.85024</v>
      </c>
      <c r="D186" s="29" t="n">
        <v>0.0098548</v>
      </c>
    </row>
    <row r="187">
      <c r="A187" s="29">
        <f>10000/B187</f>
        <v/>
      </c>
      <c r="B187" s="29" t="n">
        <v>7.52</v>
      </c>
      <c r="C187" s="28" t="n">
        <v>0.87347</v>
      </c>
      <c r="D187" s="29" t="n">
        <v>0.0075944</v>
      </c>
    </row>
    <row r="188">
      <c r="A188" s="29">
        <f>10000/B188</f>
        <v/>
      </c>
      <c r="B188" s="29" t="n">
        <v>7.4852</v>
      </c>
      <c r="C188" s="28" t="n">
        <v>0.89478</v>
      </c>
      <c r="D188" s="29" t="n">
        <v>0.00589</v>
      </c>
    </row>
    <row r="189">
      <c r="A189" s="29">
        <f>10000/B189</f>
        <v/>
      </c>
      <c r="B189" s="29" t="n">
        <v>7.4508</v>
      </c>
      <c r="C189" s="28" t="n">
        <v>0.9144</v>
      </c>
      <c r="D189" s="29" t="n">
        <v>0.0045932</v>
      </c>
    </row>
    <row r="190">
      <c r="A190" s="29">
        <f>10000/B190</f>
        <v/>
      </c>
      <c r="B190" s="29" t="n">
        <v>7.4167</v>
      </c>
      <c r="C190" s="28" t="n">
        <v>0.93255</v>
      </c>
      <c r="D190" s="29" t="n">
        <v>0.0035974</v>
      </c>
    </row>
    <row r="191">
      <c r="A191" s="29">
        <f>10000/B191</f>
        <v/>
      </c>
      <c r="B191" s="29" t="n">
        <v>7.3829</v>
      </c>
      <c r="C191" s="28" t="n">
        <v>0.9494</v>
      </c>
      <c r="D191" s="29" t="n">
        <v>0.0028263</v>
      </c>
    </row>
    <row r="192">
      <c r="A192" s="29">
        <f>10000/B192</f>
        <v/>
      </c>
      <c r="B192" s="29" t="n">
        <v>7.3494</v>
      </c>
      <c r="C192" s="28" t="n">
        <v>0.9651</v>
      </c>
      <c r="D192" s="29" t="n">
        <v>0.0022248</v>
      </c>
    </row>
    <row r="193">
      <c r="A193" s="29">
        <f>10000/B193</f>
        <v/>
      </c>
      <c r="B193" s="29" t="n">
        <v>7.3162</v>
      </c>
      <c r="C193" s="28" t="n">
        <v>0.97977</v>
      </c>
      <c r="D193" s="29" t="n">
        <v>0.0017528</v>
      </c>
    </row>
    <row r="194">
      <c r="A194" s="29">
        <f>10000/B194</f>
        <v/>
      </c>
      <c r="B194" s="29" t="n">
        <v>7.2833</v>
      </c>
      <c r="C194" s="28" t="n">
        <v>0.99352</v>
      </c>
      <c r="D194" s="29" t="n">
        <v>0.0013808</v>
      </c>
    </row>
    <row r="195">
      <c r="A195" s="29">
        <f>10000/B195</f>
        <v/>
      </c>
      <c r="B195" s="29" t="n">
        <v>7.2507</v>
      </c>
      <c r="C195" s="28" t="n">
        <v>1.0064</v>
      </c>
      <c r="D195" s="29" t="n">
        <v>0.0010867</v>
      </c>
    </row>
    <row r="196">
      <c r="A196" s="29">
        <f>10000/B196</f>
        <v/>
      </c>
      <c r="B196" s="29" t="n">
        <v>7.2184</v>
      </c>
      <c r="C196" s="28" t="n">
        <v>1.0186</v>
      </c>
      <c r="D196" s="29" t="n">
        <v>0.00085394</v>
      </c>
    </row>
    <row r="197">
      <c r="A197" s="29">
        <f>10000/B197</f>
        <v/>
      </c>
      <c r="B197" s="29" t="n">
        <v>7.1863</v>
      </c>
      <c r="C197" s="28" t="n">
        <v>1.0301</v>
      </c>
      <c r="D197" s="29" t="n">
        <v>0.0006696300000000001</v>
      </c>
    </row>
    <row r="198">
      <c r="A198" s="29">
        <f>10000/B198</f>
        <v/>
      </c>
      <c r="B198" s="29" t="n">
        <v>7.1546</v>
      </c>
      <c r="C198" s="28" t="n">
        <v>1.041</v>
      </c>
      <c r="D198" s="29" t="n">
        <v>0.0005238</v>
      </c>
    </row>
    <row r="199">
      <c r="A199" s="29">
        <f>10000/B199</f>
        <v/>
      </c>
      <c r="B199" s="29" t="n">
        <v>7.1231</v>
      </c>
      <c r="C199" s="28" t="n">
        <v>1.0513</v>
      </c>
      <c r="D199" s="29" t="n">
        <v>0.00040858</v>
      </c>
    </row>
    <row r="200">
      <c r="A200" s="29">
        <f>10000/B200</f>
        <v/>
      </c>
      <c r="B200" s="29" t="n">
        <v>7.0919</v>
      </c>
      <c r="C200" s="28" t="n">
        <v>1.0611</v>
      </c>
      <c r="D200" s="29" t="n">
        <v>0.00031776</v>
      </c>
    </row>
    <row r="201">
      <c r="A201" s="29">
        <f>10000/B201</f>
        <v/>
      </c>
      <c r="B201" s="29" t="n">
        <v>7.061</v>
      </c>
      <c r="C201" s="28" t="n">
        <v>1.0705</v>
      </c>
      <c r="D201" s="29" t="n">
        <v>0.00024633</v>
      </c>
    </row>
    <row r="202">
      <c r="A202" s="29">
        <f>10000/B202</f>
        <v/>
      </c>
      <c r="B202" s="29" t="n">
        <v>7.0304</v>
      </c>
      <c r="C202" s="28" t="n">
        <v>1.0794</v>
      </c>
      <c r="D202" s="29" t="n">
        <v>0.00019034</v>
      </c>
    </row>
    <row r="203">
      <c r="A203" s="29">
        <f>10000/B203</f>
        <v/>
      </c>
      <c r="B203" s="29" t="n">
        <v>7</v>
      </c>
      <c r="C203" s="28" t="n">
        <v>1.0878</v>
      </c>
      <c r="D203" s="29" t="n">
        <v>0.00014657</v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21"/>
  <sheetViews>
    <sheetView workbookViewId="0">
      <selection activeCell="U15" sqref="U15"/>
    </sheetView>
  </sheetViews>
  <sheetFormatPr baseColWidth="8" defaultColWidth="2.42578125" defaultRowHeight="15"/>
  <cols>
    <col width="16.7109375" bestFit="1" customWidth="1" style="2" min="1" max="1"/>
    <col width="7.5703125" bestFit="1" customWidth="1" style="2" min="2" max="2"/>
    <col width="12.5703125" bestFit="1" customWidth="1" style="2" min="3" max="3"/>
    <col width="12" bestFit="1" customWidth="1" style="2" min="4" max="4"/>
    <col width="17.42578125" bestFit="1" customWidth="1" style="2" min="5" max="5"/>
    <col width="2.42578125" customWidth="1" style="2" min="6" max="6"/>
    <col width="11.85546875" bestFit="1" customWidth="1" style="2" min="7" max="7"/>
    <col width="21.5703125" customWidth="1" style="2" min="8" max="8"/>
    <col width="2.42578125" customWidth="1" style="2" min="9" max="16384"/>
  </cols>
  <sheetData>
    <row r="1">
      <c r="A1" s="9" t="inlineStr">
        <is>
          <t>cm-1</t>
        </is>
      </c>
      <c r="B1" t="inlineStr">
        <is>
          <t>Microns</t>
        </is>
      </c>
      <c r="C1" t="inlineStr">
        <is>
          <t>n</t>
        </is>
      </c>
      <c r="D1" t="inlineStr">
        <is>
          <t>k</t>
        </is>
      </c>
      <c r="G1" t="inlineStr">
        <is>
          <t>Entry:</t>
        </is>
      </c>
      <c r="H1" t="inlineStr">
        <is>
          <t>Tabulated refractive index</t>
        </is>
      </c>
    </row>
    <row r="2">
      <c r="A2" s="30" t="n">
        <v>0</v>
      </c>
      <c r="C2" s="30">
        <f>C3+(C3-C4)/($A4-$A3)*($A3-$A2)</f>
        <v/>
      </c>
      <c r="D2" s="31" t="n">
        <v>0.0056</v>
      </c>
      <c r="E2" t="inlineStr">
        <is>
          <t>Extrapolated values</t>
        </is>
      </c>
      <c r="G2" t="inlineStr">
        <is>
          <t>Density:</t>
        </is>
      </c>
      <c r="H2" t="n">
        <v>1.38</v>
      </c>
    </row>
    <row r="3">
      <c r="A3" s="30" t="n">
        <v>100</v>
      </c>
      <c r="C3" s="30">
        <f>C4+(C4-C5)/($A5-$A4)*($A4-$A3)</f>
        <v/>
      </c>
      <c r="D3" s="31">
        <f>D4+(D4-D5)/($A5-$A4)*($A4-$A3)</f>
        <v/>
      </c>
      <c r="E3" t="inlineStr">
        <is>
          <t>Extrapolated values</t>
        </is>
      </c>
      <c r="G3" t="inlineStr">
        <is>
          <t>Temperature:</t>
        </is>
      </c>
      <c r="H3" t="n">
        <v>25</v>
      </c>
    </row>
    <row r="4">
      <c r="A4" s="30" t="n">
        <v>200</v>
      </c>
      <c r="C4" s="30">
        <f>C5+(C5-C6)/($A6-$A5)*($A5-$A4)</f>
        <v/>
      </c>
      <c r="D4" s="31" t="n">
        <v>0.0056</v>
      </c>
      <c r="E4" t="inlineStr">
        <is>
          <t>Extrapolated values</t>
        </is>
      </c>
      <c r="G4" t="inlineStr">
        <is>
          <t>Low:</t>
        </is>
      </c>
      <c r="H4">
        <f>MIN(A2:A618)</f>
        <v/>
      </c>
    </row>
    <row r="5">
      <c r="A5" s="30">
        <f>10000/B5</f>
        <v/>
      </c>
      <c r="B5" s="31" t="n">
        <v>19.942</v>
      </c>
      <c r="C5" s="30" t="n">
        <v>1.54354</v>
      </c>
      <c r="D5" s="31" t="n">
        <v>0.0056</v>
      </c>
      <c r="G5" t="inlineStr">
        <is>
          <t>High:</t>
        </is>
      </c>
      <c r="H5">
        <f>MAX(A2:A618)</f>
        <v/>
      </c>
    </row>
    <row r="6">
      <c r="A6" s="30">
        <f>10000/B6</f>
        <v/>
      </c>
      <c r="B6" s="31" t="n">
        <v>19.64</v>
      </c>
      <c r="C6" s="30" t="n">
        <v>1.54316</v>
      </c>
      <c r="D6" s="31" t="n">
        <v>0.00541</v>
      </c>
      <c r="G6" t="inlineStr">
        <is>
          <t>NPoints:</t>
        </is>
      </c>
      <c r="H6">
        <f>COUNT(A2:A618)</f>
        <v/>
      </c>
    </row>
    <row r="7">
      <c r="A7" s="30">
        <f>10000/B7</f>
        <v/>
      </c>
      <c r="B7" s="31" t="n">
        <v>19.347</v>
      </c>
      <c r="C7" s="30" t="n">
        <v>1.54672</v>
      </c>
      <c r="D7" s="31" t="n">
        <v>0.00757</v>
      </c>
      <c r="G7" t="inlineStr">
        <is>
          <t>Reference:</t>
        </is>
      </c>
      <c r="H7" t="inlineStr">
        <is>
          <t>1) X. Zhang, J. Qiu, X. Li, J. Zhao, L. Liu. Complex refractive indices measurements of polymers in visible and near-infrared bands, &lt;a href=\"https://doi.org/10.1364/AO.383831\"&gt;&lt;i&gt;Appl. Opt.&lt;/i&gt; &lt;b&gt;59&lt;/b&gt;, 2337-2344 (2020)&lt;/a&gt; (0.4-2 Âµm)&lt;br&gt;2) X. Zhang, J. Qiu, J. Zhao, X. Li, L. Liu. Complex refractive indices measurements of polymers in infrared bands, &lt;a href=\"https://doi.org/10.1016/j.jqsrt.2020.107063\"&gt;&lt;i&gt;J. Quant. Spectrosc. Radiat. Transf.&lt;/i&gt; &lt;b&gt;252&lt;/b&gt;, 107063 (2020)&lt;/a&gt; (2-20 Âµm)"</t>
        </is>
      </c>
    </row>
    <row r="8">
      <c r="A8" s="30">
        <f>10000/B8</f>
        <v/>
      </c>
      <c r="B8" s="31" t="n">
        <v>19.062</v>
      </c>
      <c r="C8" s="30" t="n">
        <v>1.55</v>
      </c>
      <c r="D8" s="31" t="n">
        <v>0.009809999999999999</v>
      </c>
    </row>
    <row r="9">
      <c r="A9" s="30">
        <f>10000/B9</f>
        <v/>
      </c>
      <c r="B9" s="31" t="n">
        <v>18.786</v>
      </c>
      <c r="C9" s="30" t="n">
        <v>1.55304</v>
      </c>
      <c r="D9" s="31" t="n">
        <v>0.0125</v>
      </c>
    </row>
    <row r="10">
      <c r="A10" s="30">
        <f>10000/B10</f>
        <v/>
      </c>
      <c r="B10" s="31" t="n">
        <v>18.518</v>
      </c>
      <c r="C10" s="30" t="n">
        <v>1.55505</v>
      </c>
      <c r="D10" s="31" t="n">
        <v>0.016</v>
      </c>
    </row>
    <row r="11">
      <c r="A11" s="30">
        <f>10000/B11</f>
        <v/>
      </c>
      <c r="B11" s="31" t="n">
        <v>18.257</v>
      </c>
      <c r="C11" s="30" t="n">
        <v>1.55685</v>
      </c>
      <c r="D11" s="31" t="n">
        <v>0.0137</v>
      </c>
    </row>
    <row r="12">
      <c r="A12" s="30">
        <f>10000/B12</f>
        <v/>
      </c>
      <c r="B12" s="31" t="n">
        <v>18.003</v>
      </c>
      <c r="C12" s="30" t="n">
        <v>1.55895</v>
      </c>
      <c r="D12" s="31" t="n">
        <v>0.01</v>
      </c>
    </row>
    <row r="13">
      <c r="A13" s="30">
        <f>10000/B13</f>
        <v/>
      </c>
      <c r="B13" s="31" t="n">
        <v>17.757</v>
      </c>
      <c r="C13" s="30" t="n">
        <v>1.56479</v>
      </c>
      <c r="D13" s="31" t="n">
        <v>0.0107</v>
      </c>
    </row>
    <row r="14">
      <c r="A14" s="30">
        <f>10000/B14</f>
        <v/>
      </c>
      <c r="B14" s="31" t="n">
        <v>17.517</v>
      </c>
      <c r="C14" s="30" t="n">
        <v>1.56804</v>
      </c>
      <c r="D14" s="31" t="n">
        <v>0.0134</v>
      </c>
    </row>
    <row r="15">
      <c r="A15" s="30">
        <f>10000/B15</f>
        <v/>
      </c>
      <c r="B15" s="31" t="n">
        <v>17.283</v>
      </c>
      <c r="C15" s="30" t="n">
        <v>1.57125</v>
      </c>
      <c r="D15" s="31" t="n">
        <v>0.0163</v>
      </c>
    </row>
    <row r="16">
      <c r="A16" s="30">
        <f>10000/B16</f>
        <v/>
      </c>
      <c r="B16" s="31" t="n">
        <v>17.056</v>
      </c>
      <c r="C16" s="30" t="n">
        <v>1.57978</v>
      </c>
      <c r="D16" s="31" t="n">
        <v>0.0201</v>
      </c>
    </row>
    <row r="17">
      <c r="A17" s="30">
        <f>10000/B17</f>
        <v/>
      </c>
      <c r="B17" s="31" t="n">
        <v>16.834</v>
      </c>
      <c r="C17" s="30" t="n">
        <v>1.59202</v>
      </c>
      <c r="D17" s="31" t="n">
        <v>0.0297</v>
      </c>
    </row>
    <row r="18">
      <c r="A18" s="30">
        <f>10000/B18</f>
        <v/>
      </c>
      <c r="B18" s="31" t="n">
        <v>16.618</v>
      </c>
      <c r="C18" s="30" t="n">
        <v>1.59725</v>
      </c>
      <c r="D18" s="31" t="n">
        <v>0.0505</v>
      </c>
    </row>
    <row r="19">
      <c r="A19" s="30">
        <f>10000/B19</f>
        <v/>
      </c>
      <c r="B19" s="31" t="n">
        <v>16.408</v>
      </c>
      <c r="C19" s="30" t="n">
        <v>1.58274</v>
      </c>
      <c r="D19" s="31" t="n">
        <v>0.0723</v>
      </c>
    </row>
    <row r="20">
      <c r="A20" s="30">
        <f>10000/B20</f>
        <v/>
      </c>
      <c r="B20" s="31" t="n">
        <v>16.203</v>
      </c>
      <c r="C20" s="30" t="n">
        <v>1.55847</v>
      </c>
      <c r="D20" s="31" t="n">
        <v>0.0809</v>
      </c>
    </row>
    <row r="21">
      <c r="A21" s="30">
        <f>10000/B21</f>
        <v/>
      </c>
      <c r="B21" s="31" t="n">
        <v>16.003</v>
      </c>
      <c r="C21" s="30" t="n">
        <v>1.54134</v>
      </c>
      <c r="D21" s="31" t="n">
        <v>0.0805</v>
      </c>
    </row>
    <row r="22">
      <c r="A22" s="30">
        <f>10000/B22</f>
        <v/>
      </c>
      <c r="B22" s="31" t="n">
        <v>15.808</v>
      </c>
      <c r="C22" s="30" t="n">
        <v>1.52972</v>
      </c>
      <c r="D22" s="31" t="n">
        <v>0.07870000000000001</v>
      </c>
    </row>
    <row r="23">
      <c r="A23" s="30">
        <f>10000/B23</f>
        <v/>
      </c>
      <c r="B23" s="31" t="n">
        <v>15.617</v>
      </c>
      <c r="C23" s="30" t="n">
        <v>1.51306</v>
      </c>
      <c r="D23" s="31" t="n">
        <v>0.0718</v>
      </c>
    </row>
    <row r="24">
      <c r="A24" s="30">
        <f>10000/B24</f>
        <v/>
      </c>
      <c r="B24" s="31" t="n">
        <v>15.431</v>
      </c>
      <c r="C24" s="30" t="n">
        <v>1.49916</v>
      </c>
      <c r="D24" s="31" t="n">
        <v>0.0565</v>
      </c>
    </row>
    <row r="25">
      <c r="A25" s="30">
        <f>10000/B25</f>
        <v/>
      </c>
      <c r="B25" s="31" t="n">
        <v>15.25</v>
      </c>
      <c r="C25" s="30" t="n">
        <v>1.50001</v>
      </c>
      <c r="D25" s="31" t="n">
        <v>0.0401</v>
      </c>
    </row>
    <row r="26">
      <c r="A26" s="30">
        <f>10000/B26</f>
        <v/>
      </c>
      <c r="B26" s="31" t="n">
        <v>15.072</v>
      </c>
      <c r="C26" s="30" t="n">
        <v>1.51161</v>
      </c>
      <c r="D26" s="31" t="n">
        <v>0.0321</v>
      </c>
    </row>
    <row r="27">
      <c r="A27" s="30">
        <f>10000/B27</f>
        <v/>
      </c>
      <c r="B27" s="31" t="n">
        <v>14.899</v>
      </c>
      <c r="C27" s="30" t="n">
        <v>1.5234</v>
      </c>
      <c r="D27" s="31" t="n">
        <v>0.0335</v>
      </c>
    </row>
    <row r="28">
      <c r="A28" s="30">
        <f>10000/B28</f>
        <v/>
      </c>
      <c r="B28" s="31" t="n">
        <v>14.73</v>
      </c>
      <c r="C28" s="30" t="n">
        <v>1.52412</v>
      </c>
      <c r="D28" s="31" t="n">
        <v>0.0389</v>
      </c>
    </row>
    <row r="29">
      <c r="A29" s="30">
        <f>10000/B29</f>
        <v/>
      </c>
      <c r="B29" s="31" t="n">
        <v>14.564</v>
      </c>
      <c r="C29" s="30" t="n">
        <v>1.51563</v>
      </c>
      <c r="D29" s="31" t="n">
        <v>0.0438</v>
      </c>
    </row>
    <row r="30">
      <c r="A30" s="30">
        <f>10000/B30</f>
        <v/>
      </c>
      <c r="B30" s="31" t="n">
        <v>14.403</v>
      </c>
      <c r="C30" s="30" t="n">
        <v>1.50559</v>
      </c>
      <c r="D30" s="31" t="n">
        <v>0.0432</v>
      </c>
    </row>
    <row r="31">
      <c r="A31" s="30">
        <f>10000/B31</f>
        <v/>
      </c>
      <c r="B31" s="31" t="n">
        <v>14.244</v>
      </c>
      <c r="C31" s="30" t="n">
        <v>1.49796</v>
      </c>
      <c r="D31" s="31" t="n">
        <v>0.0374</v>
      </c>
    </row>
    <row r="32">
      <c r="A32" s="30">
        <f>10000/B32</f>
        <v/>
      </c>
      <c r="B32" s="31" t="n">
        <v>14.089</v>
      </c>
      <c r="C32" s="30" t="n">
        <v>1.49562</v>
      </c>
      <c r="D32" s="31" t="n">
        <v>0.0282</v>
      </c>
    </row>
    <row r="33">
      <c r="A33" s="30">
        <f>10000/B33</f>
        <v/>
      </c>
      <c r="B33" s="31" t="n">
        <v>13.938</v>
      </c>
      <c r="C33" s="30" t="n">
        <v>1.49857</v>
      </c>
      <c r="D33" s="31" t="n">
        <v>0.018</v>
      </c>
    </row>
    <row r="34">
      <c r="A34" s="30">
        <f>10000/B34</f>
        <v/>
      </c>
      <c r="B34" s="31" t="n">
        <v>13.79</v>
      </c>
      <c r="C34" s="30" t="n">
        <v>1.50402</v>
      </c>
      <c r="D34" s="31" t="n">
        <v>0.0132</v>
      </c>
    </row>
    <row r="35">
      <c r="A35" s="30">
        <f>10000/B35</f>
        <v/>
      </c>
      <c r="B35" s="31" t="n">
        <v>13.645</v>
      </c>
      <c r="C35" s="30" t="n">
        <v>1.50841</v>
      </c>
      <c r="D35" s="31" t="n">
        <v>0.0115</v>
      </c>
    </row>
    <row r="36">
      <c r="A36" s="30">
        <f>10000/B36</f>
        <v/>
      </c>
      <c r="B36" s="31" t="n">
        <v>13.502</v>
      </c>
      <c r="C36" s="30" t="n">
        <v>1.51087</v>
      </c>
      <c r="D36" s="31" t="n">
        <v>0.00851</v>
      </c>
    </row>
    <row r="37">
      <c r="A37" s="30">
        <f>10000/B37</f>
        <v/>
      </c>
      <c r="B37" s="31" t="n">
        <v>13.363</v>
      </c>
      <c r="C37" s="30" t="n">
        <v>1.51318</v>
      </c>
      <c r="D37" s="31" t="n">
        <v>0.00678</v>
      </c>
    </row>
    <row r="38">
      <c r="A38" s="30">
        <f>10000/B38</f>
        <v/>
      </c>
      <c r="B38" s="31" t="n">
        <v>13.227</v>
      </c>
      <c r="C38" s="30" t="n">
        <v>1.51695</v>
      </c>
      <c r="D38" s="31" t="n">
        <v>0.0063</v>
      </c>
    </row>
    <row r="39">
      <c r="A39" s="30">
        <f>10000/B39</f>
        <v/>
      </c>
      <c r="B39" s="31" t="n">
        <v>13.093</v>
      </c>
      <c r="C39" s="30" t="n">
        <v>1.51941</v>
      </c>
      <c r="D39" s="31" t="n">
        <v>0.00532</v>
      </c>
    </row>
    <row r="40">
      <c r="A40" s="30">
        <f>10000/B40</f>
        <v/>
      </c>
      <c r="B40" s="31" t="n">
        <v>12.962</v>
      </c>
      <c r="C40" s="30" t="n">
        <v>1.51979</v>
      </c>
      <c r="D40" s="31" t="n">
        <v>0.00486</v>
      </c>
    </row>
    <row r="41">
      <c r="A41" s="30">
        <f>10000/B41</f>
        <v/>
      </c>
      <c r="B41" s="31" t="n">
        <v>12.834</v>
      </c>
      <c r="C41" s="30" t="n">
        <v>1.52083</v>
      </c>
      <c r="D41" s="31" t="n">
        <v>0.00553</v>
      </c>
    </row>
    <row r="42">
      <c r="A42" s="30">
        <f>10000/B42</f>
        <v/>
      </c>
      <c r="B42" s="31" t="n">
        <v>12.708</v>
      </c>
      <c r="C42" s="30" t="n">
        <v>1.52309</v>
      </c>
      <c r="D42" s="31" t="n">
        <v>0.00533</v>
      </c>
    </row>
    <row r="43">
      <c r="A43" s="30">
        <f>10000/B43</f>
        <v/>
      </c>
      <c r="B43" s="31" t="n">
        <v>12.585</v>
      </c>
      <c r="C43" s="30" t="n">
        <v>1.52563</v>
      </c>
      <c r="D43" s="31" t="n">
        <v>0.00393</v>
      </c>
    </row>
    <row r="44">
      <c r="A44" s="30">
        <f>10000/B44</f>
        <v/>
      </c>
      <c r="B44" s="31" t="n">
        <v>12.464</v>
      </c>
      <c r="C44" s="30" t="n">
        <v>1.52925</v>
      </c>
      <c r="D44" s="31" t="n">
        <v>0.00404</v>
      </c>
    </row>
    <row r="45">
      <c r="A45" s="30">
        <f>10000/B45</f>
        <v/>
      </c>
      <c r="B45" s="31" t="n">
        <v>12.345</v>
      </c>
      <c r="C45" s="30" t="n">
        <v>1.53192</v>
      </c>
      <c r="D45" s="31" t="n">
        <v>0.00319</v>
      </c>
    </row>
    <row r="46">
      <c r="A46" s="30">
        <f>10000/B46</f>
        <v/>
      </c>
      <c r="B46" s="31" t="n">
        <v>12.229</v>
      </c>
      <c r="C46" s="30" t="n">
        <v>1.53473</v>
      </c>
      <c r="D46" s="31" t="n">
        <v>0.00406</v>
      </c>
    </row>
    <row r="47">
      <c r="A47" s="30">
        <f>10000/B47</f>
        <v/>
      </c>
      <c r="B47" s="31" t="n">
        <v>12.114</v>
      </c>
      <c r="C47" s="30" t="n">
        <v>1.53733</v>
      </c>
      <c r="D47" s="31" t="n">
        <v>0.00779</v>
      </c>
    </row>
    <row r="48">
      <c r="A48" s="30">
        <f>10000/B48</f>
        <v/>
      </c>
      <c r="B48" s="31" t="n">
        <v>12.002</v>
      </c>
      <c r="C48" s="30" t="n">
        <v>1.53579</v>
      </c>
      <c r="D48" s="31" t="n">
        <v>0.0116</v>
      </c>
    </row>
    <row r="49">
      <c r="A49" s="30">
        <f>10000/B49</f>
        <v/>
      </c>
      <c r="B49" s="31" t="n">
        <v>11.892</v>
      </c>
      <c r="C49" s="30" t="n">
        <v>1.53267</v>
      </c>
      <c r="D49" s="31" t="n">
        <v>0.0131</v>
      </c>
    </row>
    <row r="50">
      <c r="A50" s="30">
        <f>10000/B50</f>
        <v/>
      </c>
      <c r="B50" s="31" t="n">
        <v>11.784</v>
      </c>
      <c r="C50" s="30" t="n">
        <v>1.53307</v>
      </c>
      <c r="D50" s="31" t="n">
        <v>0.0126</v>
      </c>
    </row>
    <row r="51">
      <c r="A51" s="30">
        <f>10000/B51</f>
        <v/>
      </c>
      <c r="B51" s="31" t="n">
        <v>11.678</v>
      </c>
      <c r="C51" s="30" t="n">
        <v>1.53504</v>
      </c>
      <c r="D51" s="31" t="n">
        <v>0.0124</v>
      </c>
    </row>
    <row r="52">
      <c r="A52" s="30">
        <f>10000/B52</f>
        <v/>
      </c>
      <c r="B52" s="31" t="n">
        <v>11.573</v>
      </c>
      <c r="C52" s="30" t="n">
        <v>1.53593</v>
      </c>
      <c r="D52" s="31" t="n">
        <v>0.0122</v>
      </c>
    </row>
    <row r="53">
      <c r="A53" s="30">
        <f>10000/B53</f>
        <v/>
      </c>
      <c r="B53" s="31" t="n">
        <v>11.471</v>
      </c>
      <c r="C53" s="30" t="n">
        <v>1.53642</v>
      </c>
      <c r="D53" s="31" t="n">
        <v>0.012</v>
      </c>
    </row>
    <row r="54">
      <c r="A54" s="30">
        <f>10000/B54</f>
        <v/>
      </c>
      <c r="B54" s="31" t="n">
        <v>11.37</v>
      </c>
      <c r="C54" s="30" t="n">
        <v>1.53686</v>
      </c>
      <c r="D54" s="31" t="n">
        <v>0.0124</v>
      </c>
    </row>
    <row r="55">
      <c r="A55" s="30">
        <f>10000/B55</f>
        <v/>
      </c>
      <c r="B55" s="31" t="n">
        <v>11.272</v>
      </c>
      <c r="C55" s="30" t="n">
        <v>1.53791</v>
      </c>
      <c r="D55" s="31" t="n">
        <v>0.0125</v>
      </c>
    </row>
    <row r="56">
      <c r="A56" s="30">
        <f>10000/B56</f>
        <v/>
      </c>
      <c r="B56" s="31" t="n">
        <v>11.174</v>
      </c>
      <c r="C56" s="30" t="n">
        <v>1.53785</v>
      </c>
      <c r="D56" s="31" t="n">
        <v>0.0128</v>
      </c>
    </row>
    <row r="57">
      <c r="A57" s="30">
        <f>10000/B57</f>
        <v/>
      </c>
      <c r="B57" s="31" t="n">
        <v>11.079</v>
      </c>
      <c r="C57" s="30" t="n">
        <v>1.53927</v>
      </c>
      <c r="D57" s="31" t="n">
        <v>0.0137</v>
      </c>
    </row>
    <row r="58">
      <c r="A58" s="30">
        <f>10000/B58</f>
        <v/>
      </c>
      <c r="B58" s="31" t="n">
        <v>10.985</v>
      </c>
      <c r="C58" s="30" t="n">
        <v>1.54212</v>
      </c>
      <c r="D58" s="31" t="n">
        <v>0.0165</v>
      </c>
    </row>
    <row r="59">
      <c r="A59" s="30">
        <f>10000/B59</f>
        <v/>
      </c>
      <c r="B59" s="31" t="n">
        <v>10.893</v>
      </c>
      <c r="C59" s="30" t="n">
        <v>1.5438</v>
      </c>
      <c r="D59" s="31" t="n">
        <v>0.0192</v>
      </c>
    </row>
    <row r="60">
      <c r="A60" s="30">
        <f>10000/B60</f>
        <v/>
      </c>
      <c r="B60" s="31" t="n">
        <v>10.802</v>
      </c>
      <c r="C60" s="30" t="n">
        <v>1.544</v>
      </c>
      <c r="D60" s="31" t="n">
        <v>0.0203</v>
      </c>
    </row>
    <row r="61">
      <c r="A61" s="30">
        <f>10000/B61</f>
        <v/>
      </c>
      <c r="B61" s="31" t="n">
        <v>10.713</v>
      </c>
      <c r="C61" s="30" t="n">
        <v>1.54319</v>
      </c>
      <c r="D61" s="31" t="n">
        <v>0.0214</v>
      </c>
    </row>
    <row r="62">
      <c r="A62" s="30">
        <f>10000/B62</f>
        <v/>
      </c>
      <c r="B62" s="31" t="n">
        <v>10.625</v>
      </c>
      <c r="C62" s="30" t="n">
        <v>1.54387</v>
      </c>
      <c r="D62" s="31" t="n">
        <v>0.0249</v>
      </c>
    </row>
    <row r="63">
      <c r="A63" s="30">
        <f>10000/B63</f>
        <v/>
      </c>
      <c r="B63" s="31" t="n">
        <v>10.538</v>
      </c>
      <c r="C63" s="30" t="n">
        <v>1.54351</v>
      </c>
      <c r="D63" s="31" t="n">
        <v>0.031</v>
      </c>
    </row>
    <row r="64">
      <c r="A64" s="30">
        <f>10000/B64</f>
        <v/>
      </c>
      <c r="B64" s="31" t="n">
        <v>10.453</v>
      </c>
      <c r="C64" s="30" t="n">
        <v>1.53864</v>
      </c>
      <c r="D64" s="31" t="n">
        <v>0.0376</v>
      </c>
    </row>
    <row r="65">
      <c r="A65" s="30">
        <f>10000/B65</f>
        <v/>
      </c>
      <c r="B65" s="31" t="n">
        <v>10.37</v>
      </c>
      <c r="C65" s="30" t="n">
        <v>1.52929</v>
      </c>
      <c r="D65" s="31" t="n">
        <v>0.0407</v>
      </c>
    </row>
    <row r="66">
      <c r="A66" s="30">
        <f>10000/B66</f>
        <v/>
      </c>
      <c r="B66" s="31" t="n">
        <v>10.288</v>
      </c>
      <c r="C66" s="30" t="n">
        <v>1.51955</v>
      </c>
      <c r="D66" s="31" t="n">
        <v>0.0372</v>
      </c>
    </row>
    <row r="67">
      <c r="A67" s="30">
        <f>10000/B67</f>
        <v/>
      </c>
      <c r="B67" s="31" t="n">
        <v>10.207</v>
      </c>
      <c r="C67" s="30" t="n">
        <v>1.51457</v>
      </c>
      <c r="D67" s="31" t="n">
        <v>0.0298</v>
      </c>
    </row>
    <row r="68">
      <c r="A68" s="30">
        <f>10000/B68</f>
        <v/>
      </c>
      <c r="B68" s="31" t="n">
        <v>10.127</v>
      </c>
      <c r="C68" s="30" t="n">
        <v>1.51505</v>
      </c>
      <c r="D68" s="31" t="n">
        <v>0.0228</v>
      </c>
    </row>
    <row r="69">
      <c r="A69" s="30">
        <f>10000/B69</f>
        <v/>
      </c>
      <c r="B69" s="31" t="n">
        <v>10.048</v>
      </c>
      <c r="C69" s="30" t="n">
        <v>1.5173</v>
      </c>
      <c r="D69" s="31" t="n">
        <v>0.0187</v>
      </c>
    </row>
    <row r="70">
      <c r="A70" s="30">
        <f>10000/B70</f>
        <v/>
      </c>
      <c r="B70" s="31" t="n">
        <v>9.971</v>
      </c>
      <c r="C70" s="30" t="n">
        <v>1.51865</v>
      </c>
      <c r="D70" s="31" t="n">
        <v>0.0155</v>
      </c>
    </row>
    <row r="71">
      <c r="A71" s="30">
        <f>10000/B71</f>
        <v/>
      </c>
      <c r="B71" s="31" t="n">
        <v>9.8949</v>
      </c>
      <c r="C71" s="30" t="n">
        <v>1.51946</v>
      </c>
      <c r="D71" s="31" t="n">
        <v>0.0144</v>
      </c>
    </row>
    <row r="72">
      <c r="A72" s="30">
        <f>10000/B72</f>
        <v/>
      </c>
      <c r="B72" s="31" t="n">
        <v>9.819900000000001</v>
      </c>
      <c r="C72" s="30" t="n">
        <v>1.52163</v>
      </c>
      <c r="D72" s="31" t="n">
        <v>0.0147</v>
      </c>
    </row>
    <row r="73">
      <c r="A73" s="30">
        <f>10000/B73</f>
        <v/>
      </c>
      <c r="B73" s="31" t="n">
        <v>9.7461</v>
      </c>
      <c r="C73" s="30" t="n">
        <v>1.52428</v>
      </c>
      <c r="D73" s="31" t="n">
        <v>0.0141</v>
      </c>
    </row>
    <row r="74">
      <c r="A74" s="30">
        <f>10000/B74</f>
        <v/>
      </c>
      <c r="B74" s="31" t="n">
        <v>9.673299999999999</v>
      </c>
      <c r="C74" s="30" t="n">
        <v>1.52643</v>
      </c>
      <c r="D74" s="31" t="n">
        <v>0.0129</v>
      </c>
    </row>
    <row r="75">
      <c r="A75" s="30">
        <f>10000/B75</f>
        <v/>
      </c>
      <c r="B75" s="31" t="n">
        <v>9.601699999999999</v>
      </c>
      <c r="C75" s="30" t="n">
        <v>1.52766</v>
      </c>
      <c r="D75" s="31" t="n">
        <v>0.0123</v>
      </c>
    </row>
    <row r="76">
      <c r="A76" s="30">
        <f>10000/B76</f>
        <v/>
      </c>
      <c r="B76" s="31" t="n">
        <v>9.5311</v>
      </c>
      <c r="C76" s="30" t="n">
        <v>1.52972</v>
      </c>
      <c r="D76" s="31" t="n">
        <v>0.013</v>
      </c>
    </row>
    <row r="77">
      <c r="A77" s="30">
        <f>10000/B77</f>
        <v/>
      </c>
      <c r="B77" s="31" t="n">
        <v>9.461499999999999</v>
      </c>
      <c r="C77" s="30" t="n">
        <v>1.53125</v>
      </c>
      <c r="D77" s="31" t="n">
        <v>0.0149</v>
      </c>
    </row>
    <row r="78">
      <c r="A78" s="30">
        <f>10000/B78</f>
        <v/>
      </c>
      <c r="B78" s="31" t="n">
        <v>9.393000000000001</v>
      </c>
      <c r="C78" s="30" t="n">
        <v>1.53196</v>
      </c>
      <c r="D78" s="31" t="n">
        <v>0.017</v>
      </c>
    </row>
    <row r="79">
      <c r="A79" s="30">
        <f>10000/B79</f>
        <v/>
      </c>
      <c r="B79" s="31" t="n">
        <v>9.3254</v>
      </c>
      <c r="C79" s="30" t="n">
        <v>1.53201</v>
      </c>
      <c r="D79" s="31" t="n">
        <v>0.0199</v>
      </c>
    </row>
    <row r="80">
      <c r="A80" s="30">
        <f>10000/B80</f>
        <v/>
      </c>
      <c r="B80" s="31" t="n">
        <v>9.258800000000001</v>
      </c>
      <c r="C80" s="30" t="n">
        <v>1.53138</v>
      </c>
      <c r="D80" s="31" t="n">
        <v>0.0209</v>
      </c>
    </row>
    <row r="81">
      <c r="A81" s="30">
        <f>10000/B81</f>
        <v/>
      </c>
      <c r="B81" s="31" t="n">
        <v>9.193099999999999</v>
      </c>
      <c r="C81" s="30" t="n">
        <v>1.53066</v>
      </c>
      <c r="D81" s="31" t="n">
        <v>0.0217</v>
      </c>
    </row>
    <row r="82">
      <c r="A82" s="30">
        <f>10000/B82</f>
        <v/>
      </c>
      <c r="B82" s="31" t="n">
        <v>9.128399999999999</v>
      </c>
      <c r="C82" s="30" t="n">
        <v>1.52793</v>
      </c>
      <c r="D82" s="31" t="n">
        <v>0.0235</v>
      </c>
    </row>
    <row r="83">
      <c r="A83" s="30">
        <f>10000/B83</f>
        <v/>
      </c>
      <c r="B83" s="31" t="n">
        <v>9.064500000000001</v>
      </c>
      <c r="C83" s="30" t="n">
        <v>1.52387</v>
      </c>
      <c r="D83" s="31" t="n">
        <v>0.0231</v>
      </c>
    </row>
    <row r="84">
      <c r="A84" s="30">
        <f>10000/B84</f>
        <v/>
      </c>
      <c r="B84" s="31" t="n">
        <v>9.0016</v>
      </c>
      <c r="C84" s="30" t="n">
        <v>1.52218</v>
      </c>
      <c r="D84" s="31" t="n">
        <v>0.0201</v>
      </c>
    </row>
    <row r="85">
      <c r="A85" s="30">
        <f>10000/B85</f>
        <v/>
      </c>
      <c r="B85" s="31" t="n">
        <v>8.939500000000001</v>
      </c>
      <c r="C85" s="30" t="n">
        <v>1.52211</v>
      </c>
      <c r="D85" s="31" t="n">
        <v>0.0172</v>
      </c>
    </row>
    <row r="86">
      <c r="A86" s="30">
        <f>10000/B86</f>
        <v/>
      </c>
      <c r="B86" s="31" t="n">
        <v>8.878299999999999</v>
      </c>
      <c r="C86" s="30" t="n">
        <v>1.52265</v>
      </c>
      <c r="D86" s="31" t="n">
        <v>0.0149</v>
      </c>
    </row>
    <row r="87">
      <c r="A87" s="30">
        <f>10000/B87</f>
        <v/>
      </c>
      <c r="B87" s="31" t="n">
        <v>8.8179</v>
      </c>
      <c r="C87" s="30" t="n">
        <v>1.52414</v>
      </c>
      <c r="D87" s="31" t="n">
        <v>0.0116</v>
      </c>
    </row>
    <row r="88">
      <c r="A88" s="30">
        <f>10000/B88</f>
        <v/>
      </c>
      <c r="B88" s="31" t="n">
        <v>8.7583</v>
      </c>
      <c r="C88" s="30" t="n">
        <v>1.52688</v>
      </c>
      <c r="D88" s="31" t="n">
        <v>0.00983</v>
      </c>
    </row>
    <row r="89">
      <c r="A89" s="30">
        <f>10000/B89</f>
        <v/>
      </c>
      <c r="B89" s="31" t="n">
        <v>8.6995</v>
      </c>
      <c r="C89" s="30" t="n">
        <v>1.52975</v>
      </c>
      <c r="D89" s="31" t="n">
        <v>0.0101</v>
      </c>
    </row>
    <row r="90">
      <c r="A90" s="30">
        <f>10000/B90</f>
        <v/>
      </c>
      <c r="B90" s="31" t="n">
        <v>8.641500000000001</v>
      </c>
      <c r="C90" s="30" t="n">
        <v>1.53256</v>
      </c>
      <c r="D90" s="31" t="n">
        <v>0.0112</v>
      </c>
    </row>
    <row r="91">
      <c r="A91" s="30">
        <f>10000/B91</f>
        <v/>
      </c>
      <c r="B91" s="31" t="n">
        <v>8.584300000000001</v>
      </c>
      <c r="C91" s="30" t="n">
        <v>1.53557</v>
      </c>
      <c r="D91" s="31" t="n">
        <v>0.012</v>
      </c>
    </row>
    <row r="92">
      <c r="A92" s="30">
        <f>10000/B92</f>
        <v/>
      </c>
      <c r="B92" s="31" t="n">
        <v>8.527799999999999</v>
      </c>
      <c r="C92" s="30" t="n">
        <v>1.53776</v>
      </c>
      <c r="D92" s="31" t="n">
        <v>0.0124</v>
      </c>
    </row>
    <row r="93">
      <c r="A93" s="30">
        <f>10000/B93</f>
        <v/>
      </c>
      <c r="B93" s="31" t="n">
        <v>8.472099999999999</v>
      </c>
      <c r="C93" s="30" t="n">
        <v>1.53965</v>
      </c>
      <c r="D93" s="31" t="n">
        <v>0.0145</v>
      </c>
    </row>
    <row r="94">
      <c r="A94" s="30">
        <f>10000/B94</f>
        <v/>
      </c>
      <c r="B94" s="31" t="n">
        <v>8.4171</v>
      </c>
      <c r="C94" s="30" t="n">
        <v>1.54086</v>
      </c>
      <c r="D94" s="31" t="n">
        <v>0.0198</v>
      </c>
    </row>
    <row r="95">
      <c r="A95" s="30">
        <f>10000/B95</f>
        <v/>
      </c>
      <c r="B95" s="31" t="n">
        <v>8.3628</v>
      </c>
      <c r="C95" s="30" t="n">
        <v>1.53908</v>
      </c>
      <c r="D95" s="31" t="n">
        <v>0.0238</v>
      </c>
    </row>
    <row r="96">
      <c r="A96" s="30">
        <f>10000/B96</f>
        <v/>
      </c>
      <c r="B96" s="31" t="n">
        <v>8.309100000000001</v>
      </c>
      <c r="C96" s="30" t="n">
        <v>1.53619</v>
      </c>
      <c r="D96" s="31" t="n">
        <v>0.0226</v>
      </c>
    </row>
    <row r="97">
      <c r="A97" s="30">
        <f>10000/B97</f>
        <v/>
      </c>
      <c r="B97" s="31" t="n">
        <v>8.2562</v>
      </c>
      <c r="C97" s="30" t="n">
        <v>1.53853</v>
      </c>
      <c r="D97" s="31" t="n">
        <v>0.0201</v>
      </c>
    </row>
    <row r="98">
      <c r="A98" s="30">
        <f>10000/B98</f>
        <v/>
      </c>
      <c r="B98" s="31" t="n">
        <v>8.204000000000001</v>
      </c>
      <c r="C98" s="30" t="n">
        <v>1.5467</v>
      </c>
      <c r="D98" s="31" t="n">
        <v>0.0224</v>
      </c>
    </row>
    <row r="99">
      <c r="A99" s="30">
        <f>10000/B99</f>
        <v/>
      </c>
      <c r="B99" s="31" t="n">
        <v>8.1524</v>
      </c>
      <c r="C99" s="30" t="n">
        <v>1.55173</v>
      </c>
      <c r="D99" s="31" t="n">
        <v>0.0326</v>
      </c>
    </row>
    <row r="100">
      <c r="A100" s="30">
        <f>10000/B100</f>
        <v/>
      </c>
      <c r="B100" s="31" t="n">
        <v>8.1014</v>
      </c>
      <c r="C100" s="30" t="n">
        <v>1.54825</v>
      </c>
      <c r="D100" s="31" t="n">
        <v>0.0451</v>
      </c>
    </row>
    <row r="101">
      <c r="A101" s="30">
        <f>10000/B101</f>
        <v/>
      </c>
      <c r="B101" s="31" t="n">
        <v>8.0511</v>
      </c>
      <c r="C101" s="30" t="n">
        <v>1.54059</v>
      </c>
      <c r="D101" s="31" t="n">
        <v>0.0538</v>
      </c>
    </row>
    <row r="102">
      <c r="A102" s="30">
        <f>10000/B102</f>
        <v/>
      </c>
      <c r="B102" s="31" t="n">
        <v>8.0014</v>
      </c>
      <c r="C102" s="30" t="n">
        <v>1.52877</v>
      </c>
      <c r="D102" s="31" t="n">
        <v>0.0597</v>
      </c>
    </row>
    <row r="103">
      <c r="A103" s="30">
        <f>10000/B103</f>
        <v/>
      </c>
      <c r="B103" s="31" t="n">
        <v>7.9523</v>
      </c>
      <c r="C103" s="30" t="n">
        <v>1.51268</v>
      </c>
      <c r="D103" s="31" t="n">
        <v>0.0588</v>
      </c>
    </row>
    <row r="104">
      <c r="A104" s="30">
        <f>10000/B104</f>
        <v/>
      </c>
      <c r="B104" s="31" t="n">
        <v>7.9038</v>
      </c>
      <c r="C104" s="30" t="n">
        <v>1.50077</v>
      </c>
      <c r="D104" s="31" t="n">
        <v>0.0474</v>
      </c>
    </row>
    <row r="105">
      <c r="A105" s="30">
        <f>10000/B105</f>
        <v/>
      </c>
      <c r="B105" s="31" t="n">
        <v>7.8559</v>
      </c>
      <c r="C105" s="30" t="n">
        <v>1.49895</v>
      </c>
      <c r="D105" s="31" t="n">
        <v>0.0343</v>
      </c>
    </row>
    <row r="106">
      <c r="A106" s="30">
        <f>10000/B106</f>
        <v/>
      </c>
      <c r="B106" s="31" t="n">
        <v>7.8086</v>
      </c>
      <c r="C106" s="30" t="n">
        <v>1.50321</v>
      </c>
      <c r="D106" s="31" t="n">
        <v>0.0269</v>
      </c>
    </row>
    <row r="107">
      <c r="A107" s="30">
        <f>10000/B107</f>
        <v/>
      </c>
      <c r="B107" s="31" t="n">
        <v>7.7618</v>
      </c>
      <c r="C107" s="30" t="n">
        <v>1.50856</v>
      </c>
      <c r="D107" s="31" t="n">
        <v>0.0242</v>
      </c>
    </row>
    <row r="108">
      <c r="A108" s="30">
        <f>10000/B108</f>
        <v/>
      </c>
      <c r="B108" s="31" t="n">
        <v>7.7156</v>
      </c>
      <c r="C108" s="30" t="n">
        <v>1.51151</v>
      </c>
      <c r="D108" s="31" t="n">
        <v>0.0234</v>
      </c>
    </row>
    <row r="109">
      <c r="A109" s="30">
        <f>10000/B109</f>
        <v/>
      </c>
      <c r="B109" s="31" t="n">
        <v>7.67</v>
      </c>
      <c r="C109" s="30" t="n">
        <v>1.51363</v>
      </c>
      <c r="D109" s="31" t="n">
        <v>0.0233</v>
      </c>
    </row>
    <row r="110">
      <c r="A110" s="30">
        <f>10000/B110</f>
        <v/>
      </c>
      <c r="B110" s="31" t="n">
        <v>7.6249</v>
      </c>
      <c r="C110" s="30" t="n">
        <v>1.51597</v>
      </c>
      <c r="D110" s="31" t="n">
        <v>0.0246</v>
      </c>
    </row>
    <row r="111">
      <c r="A111" s="30">
        <f>10000/B111</f>
        <v/>
      </c>
      <c r="B111" s="31" t="n">
        <v>7.5803</v>
      </c>
      <c r="C111" s="30" t="n">
        <v>1.51611</v>
      </c>
      <c r="D111" s="31" t="n">
        <v>0.0292</v>
      </c>
    </row>
    <row r="112">
      <c r="A112" s="30">
        <f>10000/B112</f>
        <v/>
      </c>
      <c r="B112" s="31" t="n">
        <v>7.5362</v>
      </c>
      <c r="C112" s="30" t="n">
        <v>1.51083</v>
      </c>
      <c r="D112" s="31" t="n">
        <v>0.034</v>
      </c>
    </row>
    <row r="113">
      <c r="A113" s="30">
        <f>10000/B113</f>
        <v/>
      </c>
      <c r="B113" s="31" t="n">
        <v>7.4926</v>
      </c>
      <c r="C113" s="30" t="n">
        <v>1.50218</v>
      </c>
      <c r="D113" s="31" t="n">
        <v>0.0325</v>
      </c>
    </row>
    <row r="114">
      <c r="A114" s="30">
        <f>10000/B114</f>
        <v/>
      </c>
      <c r="B114" s="31" t="n">
        <v>7.4496</v>
      </c>
      <c r="C114" s="30" t="n">
        <v>1.4989</v>
      </c>
      <c r="D114" s="31" t="n">
        <v>0.0248</v>
      </c>
    </row>
    <row r="115">
      <c r="A115" s="30">
        <f>10000/B115</f>
        <v/>
      </c>
      <c r="B115" s="31" t="n">
        <v>7.407</v>
      </c>
      <c r="C115" s="30" t="n">
        <v>1.50151</v>
      </c>
      <c r="D115" s="31" t="n">
        <v>0.0188</v>
      </c>
    </row>
    <row r="116">
      <c r="A116" s="30">
        <f>10000/B116</f>
        <v/>
      </c>
      <c r="B116" s="31" t="n">
        <v>7.3649</v>
      </c>
      <c r="C116" s="30" t="n">
        <v>1.50345</v>
      </c>
      <c r="D116" s="31" t="n">
        <v>0.016</v>
      </c>
    </row>
    <row r="117">
      <c r="A117" s="30">
        <f>10000/B117</f>
        <v/>
      </c>
      <c r="B117" s="31" t="n">
        <v>7.3233</v>
      </c>
      <c r="C117" s="30" t="n">
        <v>1.50512</v>
      </c>
      <c r="D117" s="31" t="n">
        <v>0.0136</v>
      </c>
    </row>
    <row r="118">
      <c r="A118" s="30">
        <f>10000/B118</f>
        <v/>
      </c>
      <c r="B118" s="31" t="n">
        <v>7.2822</v>
      </c>
      <c r="C118" s="30" t="n">
        <v>1.50743</v>
      </c>
      <c r="D118" s="31" t="n">
        <v>0.0124</v>
      </c>
    </row>
    <row r="119">
      <c r="A119" s="30">
        <f>10000/B119</f>
        <v/>
      </c>
      <c r="B119" s="31" t="n">
        <v>7.2415</v>
      </c>
      <c r="C119" s="30" t="n">
        <v>1.50858</v>
      </c>
      <c r="D119" s="31" t="n">
        <v>0.0113</v>
      </c>
    </row>
    <row r="120">
      <c r="A120" s="30">
        <f>10000/B120</f>
        <v/>
      </c>
      <c r="B120" s="31" t="n">
        <v>7.2013</v>
      </c>
      <c r="C120" s="30" t="n">
        <v>1.51013</v>
      </c>
      <c r="D120" s="31" t="n">
        <v>0.00898</v>
      </c>
    </row>
    <row r="121">
      <c r="A121" s="30">
        <f>10000/B121</f>
        <v/>
      </c>
      <c r="B121" s="31" t="n">
        <v>7.1615</v>
      </c>
      <c r="C121" s="30" t="n">
        <v>1.51417</v>
      </c>
      <c r="D121" s="31" t="n">
        <v>0.00659</v>
      </c>
    </row>
    <row r="122">
      <c r="A122" s="30">
        <f>10000/B122</f>
        <v/>
      </c>
      <c r="B122" s="31" t="n">
        <v>7.1221</v>
      </c>
      <c r="C122" s="30" t="n">
        <v>1.5204</v>
      </c>
      <c r="D122" s="31" t="n">
        <v>0.00699</v>
      </c>
    </row>
    <row r="123">
      <c r="A123" s="30">
        <f>10000/B123</f>
        <v/>
      </c>
      <c r="B123" s="31" t="n">
        <v>7.0832</v>
      </c>
      <c r="C123" s="30" t="n">
        <v>1.52698</v>
      </c>
      <c r="D123" s="31" t="n">
        <v>0.0129</v>
      </c>
    </row>
    <row r="124">
      <c r="A124" s="30">
        <f>10000/B124</f>
        <v/>
      </c>
      <c r="B124" s="31" t="n">
        <v>7.0447</v>
      </c>
      <c r="C124" s="30" t="n">
        <v>1.52722</v>
      </c>
      <c r="D124" s="31" t="n">
        <v>0.0259</v>
      </c>
    </row>
    <row r="125">
      <c r="A125" s="30">
        <f>10000/B125</f>
        <v/>
      </c>
      <c r="B125" s="31" t="n">
        <v>7.0066</v>
      </c>
      <c r="C125" s="30" t="n">
        <v>1.51617</v>
      </c>
      <c r="D125" s="31" t="n">
        <v>0.0376</v>
      </c>
    </row>
    <row r="126">
      <c r="A126" s="30">
        <f>10000/B126</f>
        <v/>
      </c>
      <c r="B126" s="31" t="n">
        <v>6.969</v>
      </c>
      <c r="C126" s="30" t="n">
        <v>1.49932</v>
      </c>
      <c r="D126" s="31" t="n">
        <v>0.0348</v>
      </c>
    </row>
    <row r="127">
      <c r="A127" s="30">
        <f>10000/B127</f>
        <v/>
      </c>
      <c r="B127" s="31" t="n">
        <v>6.9317</v>
      </c>
      <c r="C127" s="30" t="n">
        <v>1.49086</v>
      </c>
      <c r="D127" s="31" t="n">
        <v>0.0205</v>
      </c>
    </row>
    <row r="128">
      <c r="A128" s="30">
        <f>10000/B128</f>
        <v/>
      </c>
      <c r="B128" s="31" t="n">
        <v>6.8948</v>
      </c>
      <c r="C128" s="30" t="n">
        <v>1.49417</v>
      </c>
      <c r="D128" s="31" t="n">
        <v>0.0104</v>
      </c>
    </row>
    <row r="129">
      <c r="A129" s="30">
        <f>10000/B129</f>
        <v/>
      </c>
      <c r="B129" s="31" t="n">
        <v>6.8583</v>
      </c>
      <c r="C129" s="30" t="n">
        <v>1.49962</v>
      </c>
      <c r="D129" s="31" t="n">
        <v>0.00756</v>
      </c>
    </row>
    <row r="130">
      <c r="A130" s="30">
        <f>10000/B130</f>
        <v/>
      </c>
      <c r="B130" s="31" t="n">
        <v>6.8223</v>
      </c>
      <c r="C130" s="30" t="n">
        <v>1.50149</v>
      </c>
      <c r="D130" s="31" t="n">
        <v>0.00628</v>
      </c>
    </row>
    <row r="131">
      <c r="A131" s="30">
        <f>10000/B131</f>
        <v/>
      </c>
      <c r="B131" s="31" t="n">
        <v>6.7865</v>
      </c>
      <c r="C131" s="30" t="n">
        <v>1.50318</v>
      </c>
      <c r="D131" s="31" t="n">
        <v>0.00435</v>
      </c>
    </row>
    <row r="132">
      <c r="A132" s="30">
        <f>10000/B132</f>
        <v/>
      </c>
      <c r="B132" s="31" t="n">
        <v>6.7512</v>
      </c>
      <c r="C132" s="30" t="n">
        <v>1.50551</v>
      </c>
      <c r="D132" s="31" t="n">
        <v>0.00325</v>
      </c>
    </row>
    <row r="133">
      <c r="A133" s="30">
        <f>10000/B133</f>
        <v/>
      </c>
      <c r="B133" s="31" t="n">
        <v>6.7162</v>
      </c>
      <c r="C133" s="30" t="n">
        <v>1.50649</v>
      </c>
      <c r="D133" s="31" t="n">
        <v>0.00338</v>
      </c>
    </row>
    <row r="134">
      <c r="A134" s="30">
        <f>10000/B134</f>
        <v/>
      </c>
      <c r="B134" s="31" t="n">
        <v>6.6816</v>
      </c>
      <c r="C134" s="30" t="n">
        <v>1.5068</v>
      </c>
      <c r="D134" s="31" t="n">
        <v>0.00276</v>
      </c>
    </row>
    <row r="135">
      <c r="A135" s="30">
        <f>10000/B135</f>
        <v/>
      </c>
      <c r="B135" s="31" t="n">
        <v>6.6473</v>
      </c>
      <c r="C135" s="30" t="n">
        <v>1.50856</v>
      </c>
      <c r="D135" s="31" t="n">
        <v>0.00187</v>
      </c>
    </row>
    <row r="136">
      <c r="A136" s="30">
        <f>10000/B136</f>
        <v/>
      </c>
      <c r="B136" s="31" t="n">
        <v>6.6134</v>
      </c>
      <c r="C136" s="30" t="n">
        <v>1.51064</v>
      </c>
      <c r="D136" s="31" t="n">
        <v>0.00162</v>
      </c>
    </row>
    <row r="137">
      <c r="A137" s="30">
        <f>10000/B137</f>
        <v/>
      </c>
      <c r="B137" s="31" t="n">
        <v>6.5798</v>
      </c>
      <c r="C137" s="30" t="n">
        <v>1.51202</v>
      </c>
      <c r="D137" s="31" t="n">
        <v>0.00176</v>
      </c>
    </row>
    <row r="138">
      <c r="A138" s="30">
        <f>10000/B138</f>
        <v/>
      </c>
      <c r="B138" s="31" t="n">
        <v>6.5466</v>
      </c>
      <c r="C138" s="30" t="n">
        <v>1.51289</v>
      </c>
      <c r="D138" s="31" t="n">
        <v>0.00235</v>
      </c>
    </row>
    <row r="139">
      <c r="A139" s="30">
        <f>10000/B139</f>
        <v/>
      </c>
      <c r="B139" s="31" t="n">
        <v>6.5137</v>
      </c>
      <c r="C139" s="30" t="n">
        <v>1.51367</v>
      </c>
      <c r="D139" s="31" t="n">
        <v>0.00271</v>
      </c>
    </row>
    <row r="140">
      <c r="A140" s="30">
        <f>10000/B140</f>
        <v/>
      </c>
      <c r="B140" s="31" t="n">
        <v>6.4811</v>
      </c>
      <c r="C140" s="30" t="n">
        <v>1.51471</v>
      </c>
      <c r="D140" s="31" t="n">
        <v>0.00249</v>
      </c>
    </row>
    <row r="141">
      <c r="A141" s="30">
        <f>10000/B141</f>
        <v/>
      </c>
      <c r="B141" s="31" t="n">
        <v>6.4489</v>
      </c>
      <c r="C141" s="30" t="n">
        <v>1.51505</v>
      </c>
      <c r="D141" s="31" t="n">
        <v>0.00231</v>
      </c>
    </row>
    <row r="142">
      <c r="A142" s="30">
        <f>10000/B142</f>
        <v/>
      </c>
      <c r="B142" s="31" t="n">
        <v>6.417</v>
      </c>
      <c r="C142" s="30" t="n">
        <v>1.51546</v>
      </c>
      <c r="D142" s="31" t="n">
        <v>0.00224</v>
      </c>
    </row>
    <row r="143">
      <c r="A143" s="30">
        <f>10000/B143</f>
        <v/>
      </c>
      <c r="B143" s="31" t="n">
        <v>6.3854</v>
      </c>
      <c r="C143" s="30" t="n">
        <v>1.51628</v>
      </c>
      <c r="D143" s="31" t="n">
        <v>0.00233</v>
      </c>
    </row>
    <row r="144">
      <c r="A144" s="30">
        <f>10000/B144</f>
        <v/>
      </c>
      <c r="B144" s="31" t="n">
        <v>6.3541</v>
      </c>
      <c r="C144" s="30" t="n">
        <v>1.51635</v>
      </c>
      <c r="D144" s="31" t="n">
        <v>0.00258</v>
      </c>
    </row>
    <row r="145">
      <c r="A145" s="30">
        <f>10000/B145</f>
        <v/>
      </c>
      <c r="B145" s="31" t="n">
        <v>6.3231</v>
      </c>
      <c r="C145" s="30" t="n">
        <v>1.51595</v>
      </c>
      <c r="D145" s="31" t="n">
        <v>0.00271</v>
      </c>
    </row>
    <row r="146">
      <c r="A146" s="30">
        <f>10000/B146</f>
        <v/>
      </c>
      <c r="B146" s="31" t="n">
        <v>6.2924</v>
      </c>
      <c r="C146" s="30" t="n">
        <v>1.51611</v>
      </c>
      <c r="D146" s="31" t="n">
        <v>0.00263</v>
      </c>
    </row>
    <row r="147">
      <c r="A147" s="30">
        <f>10000/B147</f>
        <v/>
      </c>
      <c r="B147" s="31" t="n">
        <v>6.262</v>
      </c>
      <c r="C147" s="30" t="n">
        <v>1.51657</v>
      </c>
      <c r="D147" s="31" t="n">
        <v>0.00287</v>
      </c>
    </row>
    <row r="148">
      <c r="A148" s="30">
        <f>10000/B148</f>
        <v/>
      </c>
      <c r="B148" s="31" t="n">
        <v>6.2319</v>
      </c>
      <c r="C148" s="30" t="n">
        <v>1.51705</v>
      </c>
      <c r="D148" s="31" t="n">
        <v>0.00264</v>
      </c>
    </row>
    <row r="149">
      <c r="A149" s="30">
        <f>10000/B149</f>
        <v/>
      </c>
      <c r="B149" s="31" t="n">
        <v>6.202</v>
      </c>
      <c r="C149" s="30" t="n">
        <v>1.51755</v>
      </c>
      <c r="D149" s="31" t="n">
        <v>0.00204</v>
      </c>
    </row>
    <row r="150">
      <c r="A150" s="30">
        <f>10000/B150</f>
        <v/>
      </c>
      <c r="B150" s="31" t="n">
        <v>6.1725</v>
      </c>
      <c r="C150" s="30" t="n">
        <v>1.51792</v>
      </c>
      <c r="D150" s="31" t="n">
        <v>0.00214</v>
      </c>
    </row>
    <row r="151">
      <c r="A151" s="30">
        <f>10000/B151</f>
        <v/>
      </c>
      <c r="B151" s="31" t="n">
        <v>6.1433</v>
      </c>
      <c r="C151" s="30" t="n">
        <v>1.51801</v>
      </c>
      <c r="D151" s="31" t="n">
        <v>0.00195</v>
      </c>
    </row>
    <row r="152">
      <c r="A152" s="30">
        <f>10000/B152</f>
        <v/>
      </c>
      <c r="B152" s="31" t="n">
        <v>6.1143</v>
      </c>
      <c r="C152" s="30" t="n">
        <v>1.51852</v>
      </c>
      <c r="D152" s="31" t="n">
        <v>0.00164</v>
      </c>
    </row>
    <row r="153">
      <c r="A153" s="30">
        <f>10000/B153</f>
        <v/>
      </c>
      <c r="B153" s="31" t="n">
        <v>6.0856</v>
      </c>
      <c r="C153" s="30" t="n">
        <v>1.51925</v>
      </c>
      <c r="D153" s="31" t="n">
        <v>0.00221</v>
      </c>
    </row>
    <row r="154">
      <c r="A154" s="30">
        <f>10000/B154</f>
        <v/>
      </c>
      <c r="B154" s="31" t="n">
        <v>6.0571</v>
      </c>
      <c r="C154" s="30" t="n">
        <v>1.51991</v>
      </c>
      <c r="D154" s="31" t="n">
        <v>0.00257</v>
      </c>
    </row>
    <row r="155">
      <c r="A155" s="30">
        <f>10000/B155</f>
        <v/>
      </c>
      <c r="B155" s="31" t="n">
        <v>6.029</v>
      </c>
      <c r="C155" s="30" t="n">
        <v>1.52012</v>
      </c>
      <c r="D155" s="31" t="n">
        <v>0.0026</v>
      </c>
    </row>
    <row r="156">
      <c r="A156" s="30">
        <f>10000/B156</f>
        <v/>
      </c>
      <c r="B156" s="31" t="n">
        <v>6.0011</v>
      </c>
      <c r="C156" s="30" t="n">
        <v>1.52035</v>
      </c>
      <c r="D156" s="31" t="n">
        <v>0.00264</v>
      </c>
    </row>
    <row r="157">
      <c r="A157" s="30">
        <f>10000/B157</f>
        <v/>
      </c>
      <c r="B157" s="31" t="n">
        <v>5.9734</v>
      </c>
      <c r="C157" s="30" t="n">
        <v>1.52065</v>
      </c>
      <c r="D157" s="31" t="n">
        <v>0.00252</v>
      </c>
    </row>
    <row r="158">
      <c r="A158" s="30">
        <f>10000/B158</f>
        <v/>
      </c>
      <c r="B158" s="31" t="n">
        <v>5.946</v>
      </c>
      <c r="C158" s="30" t="n">
        <v>1.52134</v>
      </c>
      <c r="D158" s="31" t="n">
        <v>0.00257</v>
      </c>
    </row>
    <row r="159">
      <c r="A159" s="30">
        <f>10000/B159</f>
        <v/>
      </c>
      <c r="B159" s="31" t="n">
        <v>5.9188</v>
      </c>
      <c r="C159" s="30" t="n">
        <v>1.5219</v>
      </c>
      <c r="D159" s="31" t="n">
        <v>0.00286</v>
      </c>
    </row>
    <row r="160">
      <c r="A160" s="30">
        <f>10000/B160</f>
        <v/>
      </c>
      <c r="B160" s="31" t="n">
        <v>5.8919</v>
      </c>
      <c r="C160" s="30" t="n">
        <v>1.52291</v>
      </c>
      <c r="D160" s="31" t="n">
        <v>0.00332</v>
      </c>
    </row>
    <row r="161">
      <c r="A161" s="30">
        <f>10000/B161</f>
        <v/>
      </c>
      <c r="B161" s="31" t="n">
        <v>5.8653</v>
      </c>
      <c r="C161" s="30" t="n">
        <v>1.52478</v>
      </c>
      <c r="D161" s="31" t="n">
        <v>0.00513</v>
      </c>
    </row>
    <row r="162">
      <c r="A162" s="30">
        <f>10000/B162</f>
        <v/>
      </c>
      <c r="B162" s="31" t="n">
        <v>5.8389</v>
      </c>
      <c r="C162" s="30" t="n">
        <v>1.52527</v>
      </c>
      <c r="D162" s="31" t="n">
        <v>0.008200000000000001</v>
      </c>
    </row>
    <row r="163">
      <c r="A163" s="30">
        <f>10000/B163</f>
        <v/>
      </c>
      <c r="B163" s="31" t="n">
        <v>5.8127</v>
      </c>
      <c r="C163" s="30" t="n">
        <v>1.52339</v>
      </c>
      <c r="D163" s="31" t="n">
        <v>0.0118</v>
      </c>
    </row>
    <row r="164">
      <c r="A164" s="30">
        <f>10000/B164</f>
        <v/>
      </c>
      <c r="B164" s="31" t="n">
        <v>5.7867</v>
      </c>
      <c r="C164" s="30" t="n">
        <v>1.51937</v>
      </c>
      <c r="D164" s="31" t="n">
        <v>0.013</v>
      </c>
    </row>
    <row r="165">
      <c r="A165" s="30">
        <f>10000/B165</f>
        <v/>
      </c>
      <c r="B165" s="31" t="n">
        <v>5.761</v>
      </c>
      <c r="C165" s="30" t="n">
        <v>1.51485</v>
      </c>
      <c r="D165" s="31" t="n">
        <v>0.011</v>
      </c>
    </row>
    <row r="166">
      <c r="A166" s="30">
        <f>10000/B166</f>
        <v/>
      </c>
      <c r="B166" s="31" t="n">
        <v>5.7355</v>
      </c>
      <c r="C166" s="30" t="n">
        <v>1.51283</v>
      </c>
      <c r="D166" s="31" t="n">
        <v>0.00722</v>
      </c>
    </row>
    <row r="167">
      <c r="A167" s="30">
        <f>10000/B167</f>
        <v/>
      </c>
      <c r="B167" s="31" t="n">
        <v>5.7103</v>
      </c>
      <c r="C167" s="30" t="n">
        <v>1.51353</v>
      </c>
      <c r="D167" s="31" t="n">
        <v>0.00446</v>
      </c>
    </row>
    <row r="168">
      <c r="A168" s="30">
        <f>10000/B168</f>
        <v/>
      </c>
      <c r="B168" s="31" t="n">
        <v>5.6852</v>
      </c>
      <c r="C168" s="30" t="n">
        <v>1.51511</v>
      </c>
      <c r="D168" s="31" t="n">
        <v>0.00348</v>
      </c>
    </row>
    <row r="169">
      <c r="A169" s="30">
        <f>10000/B169</f>
        <v/>
      </c>
      <c r="B169" s="31" t="n">
        <v>5.6604</v>
      </c>
      <c r="C169" s="30" t="n">
        <v>1.51618</v>
      </c>
      <c r="D169" s="31" t="n">
        <v>0.00325</v>
      </c>
    </row>
    <row r="170">
      <c r="A170" s="30">
        <f>10000/B170</f>
        <v/>
      </c>
      <c r="B170" s="31" t="n">
        <v>5.6358</v>
      </c>
      <c r="C170" s="30" t="n">
        <v>1.51666</v>
      </c>
      <c r="D170" s="31" t="n">
        <v>0.00264</v>
      </c>
    </row>
    <row r="171">
      <c r="A171" s="30">
        <f>10000/B171</f>
        <v/>
      </c>
      <c r="B171" s="31" t="n">
        <v>5.6114</v>
      </c>
      <c r="C171" s="30" t="n">
        <v>1.51683</v>
      </c>
      <c r="D171" s="31" t="n">
        <v>0.00222</v>
      </c>
    </row>
    <row r="172">
      <c r="A172" s="30">
        <f>10000/B172</f>
        <v/>
      </c>
      <c r="B172" s="31" t="n">
        <v>5.5872</v>
      </c>
      <c r="C172" s="30" t="n">
        <v>1.5172</v>
      </c>
      <c r="D172" s="31" t="n">
        <v>0.00214</v>
      </c>
    </row>
    <row r="173">
      <c r="A173" s="30">
        <f>10000/B173</f>
        <v/>
      </c>
      <c r="B173" s="31" t="n">
        <v>5.5632</v>
      </c>
      <c r="C173" s="30" t="n">
        <v>1.51785</v>
      </c>
      <c r="D173" s="31" t="n">
        <v>0.00205</v>
      </c>
    </row>
    <row r="174">
      <c r="A174" s="30">
        <f>10000/B174</f>
        <v/>
      </c>
      <c r="B174" s="31" t="n">
        <v>5.5394</v>
      </c>
      <c r="C174" s="30" t="n">
        <v>1.51865</v>
      </c>
      <c r="D174" s="31" t="n">
        <v>0.00218</v>
      </c>
    </row>
    <row r="175">
      <c r="A175" s="30">
        <f>10000/B175</f>
        <v/>
      </c>
      <c r="B175" s="31" t="n">
        <v>5.5159</v>
      </c>
      <c r="C175" s="30" t="n">
        <v>1.51931</v>
      </c>
      <c r="D175" s="31" t="n">
        <v>0.00218</v>
      </c>
    </row>
    <row r="176">
      <c r="A176" s="30">
        <f>10000/B176</f>
        <v/>
      </c>
      <c r="B176" s="31" t="n">
        <v>5.4925</v>
      </c>
      <c r="C176" s="30" t="n">
        <v>1.51957</v>
      </c>
      <c r="D176" s="31" t="n">
        <v>0.00211</v>
      </c>
    </row>
    <row r="177">
      <c r="A177" s="30">
        <f>10000/B177</f>
        <v/>
      </c>
      <c r="B177" s="31" t="n">
        <v>5.4693</v>
      </c>
      <c r="C177" s="30" t="n">
        <v>1.51964</v>
      </c>
      <c r="D177" s="31" t="n">
        <v>0.00224</v>
      </c>
    </row>
    <row r="178">
      <c r="A178" s="30">
        <f>10000/B178</f>
        <v/>
      </c>
      <c r="B178" s="31" t="n">
        <v>5.4463</v>
      </c>
      <c r="C178" s="30" t="n">
        <v>1.51964</v>
      </c>
      <c r="D178" s="31" t="n">
        <v>0.00232</v>
      </c>
    </row>
    <row r="179">
      <c r="A179" s="30">
        <f>10000/B179</f>
        <v/>
      </c>
      <c r="B179" s="31" t="n">
        <v>5.4235</v>
      </c>
      <c r="C179" s="30" t="n">
        <v>1.51986</v>
      </c>
      <c r="D179" s="31" t="n">
        <v>0.00201</v>
      </c>
    </row>
    <row r="180">
      <c r="A180" s="30">
        <f>10000/B180</f>
        <v/>
      </c>
      <c r="B180" s="31" t="n">
        <v>5.4009</v>
      </c>
      <c r="C180" s="30" t="n">
        <v>1.52017</v>
      </c>
      <c r="D180" s="31" t="n">
        <v>0.0018</v>
      </c>
    </row>
    <row r="181">
      <c r="A181" s="30">
        <f>10000/B181</f>
        <v/>
      </c>
      <c r="B181" s="31" t="n">
        <v>5.3785</v>
      </c>
      <c r="C181" s="30" t="n">
        <v>1.52</v>
      </c>
      <c r="D181" s="31" t="n">
        <v>0.00181</v>
      </c>
    </row>
    <row r="182">
      <c r="A182" s="30">
        <f>10000/B182</f>
        <v/>
      </c>
      <c r="B182" s="31" t="n">
        <v>5.3563</v>
      </c>
      <c r="C182" s="30" t="n">
        <v>1.51992</v>
      </c>
      <c r="D182" s="31" t="n">
        <v>0.0016</v>
      </c>
    </row>
    <row r="183">
      <c r="A183" s="30">
        <f>10000/B183</f>
        <v/>
      </c>
      <c r="B183" s="31" t="n">
        <v>5.3343</v>
      </c>
      <c r="C183" s="30" t="n">
        <v>1.52037</v>
      </c>
      <c r="D183" s="31" t="n">
        <v>0.00188</v>
      </c>
    </row>
    <row r="184">
      <c r="A184" s="30">
        <f>10000/B184</f>
        <v/>
      </c>
      <c r="B184" s="31" t="n">
        <v>5.3124</v>
      </c>
      <c r="C184" s="30" t="n">
        <v>1.52061</v>
      </c>
      <c r="D184" s="31" t="n">
        <v>0.00231</v>
      </c>
    </row>
    <row r="185">
      <c r="A185" s="30">
        <f>10000/B185</f>
        <v/>
      </c>
      <c r="B185" s="31" t="n">
        <v>5.2907</v>
      </c>
      <c r="C185" s="30" t="n">
        <v>1.52062</v>
      </c>
      <c r="D185" s="31" t="n">
        <v>0.00193</v>
      </c>
    </row>
    <row r="186">
      <c r="A186" s="30">
        <f>10000/B186</f>
        <v/>
      </c>
      <c r="B186" s="31" t="n">
        <v>5.2692</v>
      </c>
      <c r="C186" s="30" t="n">
        <v>1.52063</v>
      </c>
      <c r="D186" s="31" t="n">
        <v>0.0016</v>
      </c>
    </row>
    <row r="187">
      <c r="A187" s="30">
        <f>10000/B187</f>
        <v/>
      </c>
      <c r="B187" s="31" t="n">
        <v>5.2479</v>
      </c>
      <c r="C187" s="30" t="n">
        <v>1.52033</v>
      </c>
      <c r="D187" s="31" t="n">
        <v>0.00159</v>
      </c>
    </row>
    <row r="188">
      <c r="A188" s="30">
        <f>10000/B188</f>
        <v/>
      </c>
      <c r="B188" s="31" t="n">
        <v>5.2267</v>
      </c>
      <c r="C188" s="30" t="n">
        <v>1.5202</v>
      </c>
      <c r="D188" s="31" t="n">
        <v>0.00178</v>
      </c>
    </row>
    <row r="189">
      <c r="A189" s="30">
        <f>10000/B189</f>
        <v/>
      </c>
      <c r="B189" s="31" t="n">
        <v>5.2057</v>
      </c>
      <c r="C189" s="30" t="n">
        <v>1.52049</v>
      </c>
      <c r="D189" s="31" t="n">
        <v>0.00198</v>
      </c>
    </row>
    <row r="190">
      <c r="A190" s="30">
        <f>10000/B190</f>
        <v/>
      </c>
      <c r="B190" s="31" t="n">
        <v>5.1849</v>
      </c>
      <c r="C190" s="30" t="n">
        <v>1.52103</v>
      </c>
      <c r="D190" s="31" t="n">
        <v>0.00208</v>
      </c>
    </row>
    <row r="191">
      <c r="A191" s="30">
        <f>10000/B191</f>
        <v/>
      </c>
      <c r="B191" s="31" t="n">
        <v>5.1643</v>
      </c>
      <c r="C191" s="30" t="n">
        <v>1.52142</v>
      </c>
      <c r="D191" s="31" t="n">
        <v>0.00217</v>
      </c>
    </row>
    <row r="192">
      <c r="A192" s="30">
        <f>10000/B192</f>
        <v/>
      </c>
      <c r="B192" s="31" t="n">
        <v>5.1438</v>
      </c>
      <c r="C192" s="30" t="n">
        <v>1.52158</v>
      </c>
      <c r="D192" s="31" t="n">
        <v>0.00202</v>
      </c>
    </row>
    <row r="193">
      <c r="A193" s="30">
        <f>10000/B193</f>
        <v/>
      </c>
      <c r="B193" s="31" t="n">
        <v>5.1234</v>
      </c>
      <c r="C193" s="30" t="n">
        <v>1.52151</v>
      </c>
      <c r="D193" s="31" t="n">
        <v>0.00205</v>
      </c>
    </row>
    <row r="194">
      <c r="A194" s="30">
        <f>10000/B194</f>
        <v/>
      </c>
      <c r="B194" s="31" t="n">
        <v>5.1033</v>
      </c>
      <c r="C194" s="30" t="n">
        <v>1.5213</v>
      </c>
      <c r="D194" s="31" t="n">
        <v>0.00207</v>
      </c>
    </row>
    <row r="195">
      <c r="A195" s="30">
        <f>10000/B195</f>
        <v/>
      </c>
      <c r="B195" s="31" t="n">
        <v>5.0832</v>
      </c>
      <c r="C195" s="30" t="n">
        <v>1.52172</v>
      </c>
      <c r="D195" s="31" t="n">
        <v>0.00189</v>
      </c>
    </row>
    <row r="196">
      <c r="A196" s="30">
        <f>10000/B196</f>
        <v/>
      </c>
      <c r="B196" s="31" t="n">
        <v>5.0634</v>
      </c>
      <c r="C196" s="30" t="n">
        <v>1.52213</v>
      </c>
      <c r="D196" s="31" t="n">
        <v>0.00155</v>
      </c>
    </row>
    <row r="197">
      <c r="A197" s="30">
        <f>10000/B197</f>
        <v/>
      </c>
      <c r="B197" s="31" t="n">
        <v>5.0437</v>
      </c>
      <c r="C197" s="30" t="n">
        <v>1.52198</v>
      </c>
      <c r="D197" s="31" t="n">
        <v>0.00167</v>
      </c>
    </row>
    <row r="198">
      <c r="A198" s="30">
        <f>10000/B198</f>
        <v/>
      </c>
      <c r="B198" s="31" t="n">
        <v>5.0241</v>
      </c>
      <c r="C198" s="30" t="n">
        <v>1.52188</v>
      </c>
      <c r="D198" s="31" t="n">
        <v>0.00203</v>
      </c>
    </row>
    <row r="199">
      <c r="A199" s="30">
        <f>10000/B199</f>
        <v/>
      </c>
      <c r="B199" s="31" t="n">
        <v>5.0047</v>
      </c>
      <c r="C199" s="30" t="n">
        <v>1.52213</v>
      </c>
      <c r="D199" s="31" t="n">
        <v>0.00183</v>
      </c>
    </row>
    <row r="200">
      <c r="A200" s="30">
        <f>10000/B200</f>
        <v/>
      </c>
      <c r="B200" s="31" t="n">
        <v>4.9855</v>
      </c>
      <c r="C200" s="30" t="n">
        <v>1.52227</v>
      </c>
      <c r="D200" s="31" t="n">
        <v>0.00174</v>
      </c>
    </row>
    <row r="201">
      <c r="A201" s="30">
        <f>10000/B201</f>
        <v/>
      </c>
      <c r="B201" s="31" t="n">
        <v>4.9664</v>
      </c>
      <c r="C201" s="30" t="n">
        <v>1.52208</v>
      </c>
      <c r="D201" s="31" t="n">
        <v>0.0017</v>
      </c>
    </row>
    <row r="202">
      <c r="A202" s="30">
        <f>10000/B202</f>
        <v/>
      </c>
      <c r="B202" s="31" t="n">
        <v>4.9474</v>
      </c>
      <c r="C202" s="30" t="n">
        <v>1.52195</v>
      </c>
      <c r="D202" s="31" t="n">
        <v>0.00144</v>
      </c>
    </row>
    <row r="203">
      <c r="A203" s="30">
        <f>10000/B203</f>
        <v/>
      </c>
      <c r="B203" s="31" t="n">
        <v>4.9286</v>
      </c>
      <c r="C203" s="30" t="n">
        <v>1.52211</v>
      </c>
      <c r="D203" s="31" t="n">
        <v>0.00158</v>
      </c>
    </row>
    <row r="204">
      <c r="A204" s="30">
        <f>10000/B204</f>
        <v/>
      </c>
      <c r="B204" s="31" t="n">
        <v>4.91</v>
      </c>
      <c r="C204" s="30" t="n">
        <v>1.52205</v>
      </c>
      <c r="D204" s="31" t="n">
        <v>0.00176</v>
      </c>
    </row>
    <row r="205">
      <c r="A205" s="30">
        <f>10000/B205</f>
        <v/>
      </c>
      <c r="B205" s="31" t="n">
        <v>4.8914</v>
      </c>
      <c r="C205" s="30" t="n">
        <v>1.5222</v>
      </c>
      <c r="D205" s="31" t="n">
        <v>0.00163</v>
      </c>
    </row>
    <row r="206">
      <c r="A206" s="30">
        <f>10000/B206</f>
        <v/>
      </c>
      <c r="B206" s="31" t="n">
        <v>4.873</v>
      </c>
      <c r="C206" s="30" t="n">
        <v>1.52257</v>
      </c>
      <c r="D206" s="31" t="n">
        <v>0.00146</v>
      </c>
    </row>
    <row r="207">
      <c r="A207" s="30">
        <f>10000/B207</f>
        <v/>
      </c>
      <c r="B207" s="31" t="n">
        <v>4.8548</v>
      </c>
      <c r="C207" s="30" t="n">
        <v>1.52245</v>
      </c>
      <c r="D207" s="31" t="n">
        <v>0.00127</v>
      </c>
    </row>
    <row r="208">
      <c r="A208" s="30">
        <f>10000/B208</f>
        <v/>
      </c>
      <c r="B208" s="31" t="n">
        <v>4.8367</v>
      </c>
      <c r="C208" s="30" t="n">
        <v>1.52215</v>
      </c>
      <c r="D208" s="31" t="n">
        <v>0.00148</v>
      </c>
    </row>
    <row r="209">
      <c r="A209" s="30">
        <f>10000/B209</f>
        <v/>
      </c>
      <c r="B209" s="31" t="n">
        <v>4.8187</v>
      </c>
      <c r="C209" s="30" t="n">
        <v>1.52241</v>
      </c>
      <c r="D209" s="31" t="n">
        <v>0.00187</v>
      </c>
    </row>
    <row r="210">
      <c r="A210" s="30">
        <f>10000/B210</f>
        <v/>
      </c>
      <c r="B210" s="31" t="n">
        <v>4.8008</v>
      </c>
      <c r="C210" s="30" t="n">
        <v>1.52294</v>
      </c>
      <c r="D210" s="31" t="n">
        <v>0.00171</v>
      </c>
    </row>
    <row r="211">
      <c r="A211" s="30">
        <f>10000/B211</f>
        <v/>
      </c>
      <c r="B211" s="31" t="n">
        <v>4.7831</v>
      </c>
      <c r="C211" s="30" t="n">
        <v>1.52323</v>
      </c>
      <c r="D211" s="31" t="n">
        <v>0.00151</v>
      </c>
    </row>
    <row r="212">
      <c r="A212" s="30">
        <f>10000/B212</f>
        <v/>
      </c>
      <c r="B212" s="31" t="n">
        <v>4.7655</v>
      </c>
      <c r="C212" s="30" t="n">
        <v>1.52307</v>
      </c>
      <c r="D212" s="31" t="n">
        <v>0.00146</v>
      </c>
    </row>
    <row r="213">
      <c r="A213" s="30">
        <f>10000/B213</f>
        <v/>
      </c>
      <c r="B213" s="31" t="n">
        <v>4.7481</v>
      </c>
      <c r="C213" s="30" t="n">
        <v>1.52303</v>
      </c>
      <c r="D213" s="31" t="n">
        <v>0.00146</v>
      </c>
    </row>
    <row r="214">
      <c r="A214" s="30">
        <f>10000/B214</f>
        <v/>
      </c>
      <c r="B214" s="31" t="n">
        <v>4.7308</v>
      </c>
      <c r="C214" s="30" t="n">
        <v>1.52322</v>
      </c>
      <c r="D214" s="31" t="n">
        <v>0.00166</v>
      </c>
    </row>
    <row r="215">
      <c r="A215" s="30">
        <f>10000/B215</f>
        <v/>
      </c>
      <c r="B215" s="31" t="n">
        <v>4.7136</v>
      </c>
      <c r="C215" s="30" t="n">
        <v>1.52312</v>
      </c>
      <c r="D215" s="31" t="n">
        <v>0.00189</v>
      </c>
    </row>
    <row r="216">
      <c r="A216" s="30">
        <f>10000/B216</f>
        <v/>
      </c>
      <c r="B216" s="31" t="n">
        <v>4.6965</v>
      </c>
      <c r="C216" s="30" t="n">
        <v>1.52329</v>
      </c>
      <c r="D216" s="31" t="n">
        <v>0.00192</v>
      </c>
    </row>
    <row r="217">
      <c r="A217" s="30">
        <f>10000/B217</f>
        <v/>
      </c>
      <c r="B217" s="31" t="n">
        <v>4.6795</v>
      </c>
      <c r="C217" s="30" t="n">
        <v>1.52369</v>
      </c>
      <c r="D217" s="31" t="n">
        <v>0.00179</v>
      </c>
    </row>
    <row r="218">
      <c r="A218" s="30">
        <f>10000/B218</f>
        <v/>
      </c>
      <c r="B218" s="31" t="n">
        <v>4.6627</v>
      </c>
      <c r="C218" s="30" t="n">
        <v>1.52372</v>
      </c>
      <c r="D218" s="31" t="n">
        <v>0.00176</v>
      </c>
    </row>
    <row r="219">
      <c r="A219" s="30">
        <f>10000/B219</f>
        <v/>
      </c>
      <c r="B219" s="31" t="n">
        <v>4.646</v>
      </c>
      <c r="C219" s="30" t="n">
        <v>1.52333</v>
      </c>
      <c r="D219" s="31" t="n">
        <v>0.00179</v>
      </c>
    </row>
    <row r="220">
      <c r="A220" s="30">
        <f>10000/B220</f>
        <v/>
      </c>
      <c r="B220" s="31" t="n">
        <v>4.6294</v>
      </c>
      <c r="C220" s="30" t="n">
        <v>1.52335</v>
      </c>
      <c r="D220" s="31" t="n">
        <v>0.00165</v>
      </c>
    </row>
    <row r="221">
      <c r="A221" s="30">
        <f>10000/B221</f>
        <v/>
      </c>
      <c r="B221" s="31" t="n">
        <v>4.6129</v>
      </c>
      <c r="C221" s="30" t="n">
        <v>1.52354</v>
      </c>
      <c r="D221" s="31" t="n">
        <v>0.00142</v>
      </c>
    </row>
    <row r="222">
      <c r="A222" s="30">
        <f>10000/B222</f>
        <v/>
      </c>
      <c r="B222" s="31" t="n">
        <v>4.5965</v>
      </c>
      <c r="C222" s="30" t="n">
        <v>1.5235</v>
      </c>
      <c r="D222" s="31" t="n">
        <v>0.00137</v>
      </c>
    </row>
    <row r="223">
      <c r="A223" s="30">
        <f>10000/B223</f>
        <v/>
      </c>
      <c r="B223" s="31" t="n">
        <v>4.5803</v>
      </c>
      <c r="C223" s="30" t="n">
        <v>1.52341</v>
      </c>
      <c r="D223" s="31" t="n">
        <v>0.00143</v>
      </c>
    </row>
    <row r="224">
      <c r="A224" s="30">
        <f>10000/B224</f>
        <v/>
      </c>
      <c r="B224" s="31" t="n">
        <v>4.5642</v>
      </c>
      <c r="C224" s="30" t="n">
        <v>1.5236</v>
      </c>
      <c r="D224" s="31" t="n">
        <v>0.00143</v>
      </c>
    </row>
    <row r="225">
      <c r="A225" s="30">
        <f>10000/B225</f>
        <v/>
      </c>
      <c r="B225" s="31" t="n">
        <v>4.5482</v>
      </c>
      <c r="C225" s="30" t="n">
        <v>1.52396</v>
      </c>
      <c r="D225" s="31" t="n">
        <v>0.00157</v>
      </c>
    </row>
    <row r="226">
      <c r="A226" s="30">
        <f>10000/B226</f>
        <v/>
      </c>
      <c r="B226" s="31" t="n">
        <v>4.5323</v>
      </c>
      <c r="C226" s="30" t="n">
        <v>1.52405</v>
      </c>
      <c r="D226" s="31" t="n">
        <v>0.00176</v>
      </c>
    </row>
    <row r="227">
      <c r="A227" s="30">
        <f>10000/B227</f>
        <v/>
      </c>
      <c r="B227" s="31" t="n">
        <v>4.5165</v>
      </c>
      <c r="C227" s="30" t="n">
        <v>1.52381</v>
      </c>
      <c r="D227" s="31" t="n">
        <v>0.00195</v>
      </c>
    </row>
    <row r="228">
      <c r="A228" s="30">
        <f>10000/B228</f>
        <v/>
      </c>
      <c r="B228" s="31" t="n">
        <v>4.5008</v>
      </c>
      <c r="C228" s="30" t="n">
        <v>1.52395</v>
      </c>
      <c r="D228" s="31" t="n">
        <v>0.00205</v>
      </c>
    </row>
    <row r="229">
      <c r="A229" s="30">
        <f>10000/B229</f>
        <v/>
      </c>
      <c r="B229" s="31" t="n">
        <v>4.4852</v>
      </c>
      <c r="C229" s="30" t="n">
        <v>1.5246</v>
      </c>
      <c r="D229" s="31" t="n">
        <v>0.00208</v>
      </c>
    </row>
    <row r="230">
      <c r="A230" s="30">
        <f>10000/B230</f>
        <v/>
      </c>
      <c r="B230" s="31" t="n">
        <v>4.4697</v>
      </c>
      <c r="C230" s="30" t="n">
        <v>1.52497</v>
      </c>
      <c r="D230" s="31" t="n">
        <v>0.00211</v>
      </c>
    </row>
    <row r="231">
      <c r="A231" s="30">
        <f>10000/B231</f>
        <v/>
      </c>
      <c r="B231" s="31" t="n">
        <v>4.4544</v>
      </c>
      <c r="C231" s="30" t="n">
        <v>1.52451</v>
      </c>
      <c r="D231" s="31" t="n">
        <v>0.00203</v>
      </c>
    </row>
    <row r="232">
      <c r="A232" s="30">
        <f>10000/B232</f>
        <v/>
      </c>
      <c r="B232" s="31" t="n">
        <v>4.4391</v>
      </c>
      <c r="C232" s="30" t="n">
        <v>1.52372</v>
      </c>
      <c r="D232" s="31" t="n">
        <v>0.00211</v>
      </c>
    </row>
    <row r="233">
      <c r="A233" s="30">
        <f>10000/B233</f>
        <v/>
      </c>
      <c r="B233" s="31" t="n">
        <v>4.424</v>
      </c>
      <c r="C233" s="30" t="n">
        <v>1.52348</v>
      </c>
      <c r="D233" s="31" t="n">
        <v>0.00226</v>
      </c>
    </row>
    <row r="234">
      <c r="A234" s="30">
        <f>10000/B234</f>
        <v/>
      </c>
      <c r="B234" s="31" t="n">
        <v>4.4089</v>
      </c>
      <c r="C234" s="30" t="n">
        <v>1.52371</v>
      </c>
      <c r="D234" s="31" t="n">
        <v>0.00216</v>
      </c>
    </row>
    <row r="235">
      <c r="A235" s="30">
        <f>10000/B235</f>
        <v/>
      </c>
      <c r="B235" s="31" t="n">
        <v>4.394</v>
      </c>
      <c r="C235" s="30" t="n">
        <v>1.52389</v>
      </c>
      <c r="D235" s="31" t="n">
        <v>0.00207</v>
      </c>
    </row>
    <row r="236">
      <c r="A236" s="30">
        <f>10000/B236</f>
        <v/>
      </c>
      <c r="B236" s="31" t="n">
        <v>4.3791</v>
      </c>
      <c r="C236" s="30" t="n">
        <v>1.52397</v>
      </c>
      <c r="D236" s="31" t="n">
        <v>0.00208</v>
      </c>
    </row>
    <row r="237">
      <c r="A237" s="30">
        <f>10000/B237</f>
        <v/>
      </c>
      <c r="B237" s="31" t="n">
        <v>4.3644</v>
      </c>
      <c r="C237" s="30" t="n">
        <v>1.52407</v>
      </c>
      <c r="D237" s="31" t="n">
        <v>0.00207</v>
      </c>
    </row>
    <row r="238">
      <c r="A238" s="30">
        <f>10000/B238</f>
        <v/>
      </c>
      <c r="B238" s="31" t="n">
        <v>4.3498</v>
      </c>
      <c r="C238" s="30" t="n">
        <v>1.52418</v>
      </c>
      <c r="D238" s="31" t="n">
        <v>0.00194</v>
      </c>
    </row>
    <row r="239">
      <c r="A239" s="30">
        <f>10000/B239</f>
        <v/>
      </c>
      <c r="B239" s="31" t="n">
        <v>4.3352</v>
      </c>
      <c r="C239" s="30" t="n">
        <v>1.52448</v>
      </c>
      <c r="D239" s="31" t="n">
        <v>0.00178</v>
      </c>
    </row>
    <row r="240">
      <c r="A240" s="30">
        <f>10000/B240</f>
        <v/>
      </c>
      <c r="B240" s="31" t="n">
        <v>4.3208</v>
      </c>
      <c r="C240" s="30" t="n">
        <v>1.52436</v>
      </c>
      <c r="D240" s="31" t="n">
        <v>0.0014</v>
      </c>
    </row>
    <row r="241">
      <c r="A241" s="30">
        <f>10000/B241</f>
        <v/>
      </c>
      <c r="B241" s="31" t="n">
        <v>4.3064</v>
      </c>
      <c r="C241" s="30" t="n">
        <v>1.52401</v>
      </c>
      <c r="D241" s="31" t="n">
        <v>0.00126</v>
      </c>
    </row>
    <row r="242">
      <c r="A242" s="30">
        <f>10000/B242</f>
        <v/>
      </c>
      <c r="B242" s="31" t="n">
        <v>4.2921</v>
      </c>
      <c r="C242" s="30" t="n">
        <v>1.52381</v>
      </c>
      <c r="D242" s="31" t="n">
        <v>0.00165</v>
      </c>
    </row>
    <row r="243">
      <c r="A243" s="30">
        <f>10000/B243</f>
        <v/>
      </c>
      <c r="B243" s="31" t="n">
        <v>4.278</v>
      </c>
      <c r="C243" s="30" t="n">
        <v>1.52354</v>
      </c>
      <c r="D243" s="31" t="n">
        <v>0.00204</v>
      </c>
    </row>
    <row r="244">
      <c r="A244" s="30">
        <f>10000/B244</f>
        <v/>
      </c>
      <c r="B244" s="31" t="n">
        <v>4.2639</v>
      </c>
      <c r="C244" s="30" t="n">
        <v>1.5233</v>
      </c>
      <c r="D244" s="31" t="n">
        <v>0.00252</v>
      </c>
    </row>
    <row r="245">
      <c r="A245" s="30">
        <f>10000/B245</f>
        <v/>
      </c>
      <c r="B245" s="31" t="n">
        <v>4.2499</v>
      </c>
      <c r="C245" s="30" t="n">
        <v>1.52331</v>
      </c>
      <c r="D245" s="31" t="n">
        <v>0.00242</v>
      </c>
    </row>
    <row r="246">
      <c r="A246" s="30">
        <f>10000/B246</f>
        <v/>
      </c>
      <c r="B246" s="31" t="n">
        <v>4.236</v>
      </c>
      <c r="C246" s="30" t="n">
        <v>1.52299</v>
      </c>
      <c r="D246" s="31" t="n">
        <v>0.0023</v>
      </c>
    </row>
    <row r="247">
      <c r="A247" s="30">
        <f>10000/B247</f>
        <v/>
      </c>
      <c r="B247" s="31" t="n">
        <v>4.2222</v>
      </c>
      <c r="C247" s="30" t="n">
        <v>1.52343</v>
      </c>
      <c r="D247" s="31" t="n">
        <v>0.00185</v>
      </c>
    </row>
    <row r="248">
      <c r="A248" s="30">
        <f>10000/B248</f>
        <v/>
      </c>
      <c r="B248" s="31" t="n">
        <v>4.2085</v>
      </c>
      <c r="C248" s="30" t="n">
        <v>1.52419</v>
      </c>
      <c r="D248" s="31" t="n">
        <v>0.00214</v>
      </c>
    </row>
    <row r="249">
      <c r="A249" s="30">
        <f>10000/B249</f>
        <v/>
      </c>
      <c r="B249" s="31" t="n">
        <v>4.1949</v>
      </c>
      <c r="C249" s="30" t="n">
        <v>1.52454</v>
      </c>
      <c r="D249" s="31" t="n">
        <v>0.00216</v>
      </c>
    </row>
    <row r="250">
      <c r="A250" s="30">
        <f>10000/B250</f>
        <v/>
      </c>
      <c r="B250" s="31" t="n">
        <v>4.1814</v>
      </c>
      <c r="C250" s="30" t="n">
        <v>1.52462</v>
      </c>
      <c r="D250" s="31" t="n">
        <v>0.00194</v>
      </c>
    </row>
    <row r="251">
      <c r="A251" s="30">
        <f>10000/B251</f>
        <v/>
      </c>
      <c r="B251" s="31" t="n">
        <v>4.1679</v>
      </c>
      <c r="C251" s="30" t="n">
        <v>1.52466</v>
      </c>
      <c r="D251" s="31" t="n">
        <v>0.00177</v>
      </c>
    </row>
    <row r="252">
      <c r="A252" s="30">
        <f>10000/B252</f>
        <v/>
      </c>
      <c r="B252" s="31" t="n">
        <v>4.1546</v>
      </c>
      <c r="C252" s="30" t="n">
        <v>1.52455</v>
      </c>
      <c r="D252" s="31" t="n">
        <v>0.0018</v>
      </c>
    </row>
    <row r="253">
      <c r="A253" s="30">
        <f>10000/B253</f>
        <v/>
      </c>
      <c r="B253" s="31" t="n">
        <v>4.1413</v>
      </c>
      <c r="C253" s="30" t="n">
        <v>1.52456</v>
      </c>
      <c r="D253" s="31" t="n">
        <v>0.00191</v>
      </c>
    </row>
    <row r="254">
      <c r="A254" s="30">
        <f>10000/B254</f>
        <v/>
      </c>
      <c r="B254" s="31" t="n">
        <v>4.1281</v>
      </c>
      <c r="C254" s="30" t="n">
        <v>1.52458</v>
      </c>
      <c r="D254" s="31" t="n">
        <v>0.00207</v>
      </c>
    </row>
    <row r="255">
      <c r="A255" s="30">
        <f>10000/B255</f>
        <v/>
      </c>
      <c r="B255" s="31" t="n">
        <v>4.115</v>
      </c>
      <c r="C255" s="30" t="n">
        <v>1.5245</v>
      </c>
      <c r="D255" s="31" t="n">
        <v>0.00203</v>
      </c>
    </row>
    <row r="256">
      <c r="A256" s="30">
        <f>10000/B256</f>
        <v/>
      </c>
      <c r="B256" s="31" t="n">
        <v>4.102</v>
      </c>
      <c r="C256" s="30" t="n">
        <v>1.52471</v>
      </c>
      <c r="D256" s="31" t="n">
        <v>0.00181</v>
      </c>
    </row>
    <row r="257">
      <c r="A257" s="30">
        <f>10000/B257</f>
        <v/>
      </c>
      <c r="B257" s="31" t="n">
        <v>4.089</v>
      </c>
      <c r="C257" s="30" t="n">
        <v>1.52499</v>
      </c>
      <c r="D257" s="31" t="n">
        <v>0.00174</v>
      </c>
    </row>
    <row r="258">
      <c r="A258" s="30">
        <f>10000/B258</f>
        <v/>
      </c>
      <c r="B258" s="31" t="n">
        <v>4.0762</v>
      </c>
      <c r="C258" s="30" t="n">
        <v>1.52515</v>
      </c>
      <c r="D258" s="31" t="n">
        <v>0.00183</v>
      </c>
    </row>
    <row r="259">
      <c r="A259" s="30">
        <f>10000/B259</f>
        <v/>
      </c>
      <c r="B259" s="31" t="n">
        <v>4.0634</v>
      </c>
      <c r="C259" s="30" t="n">
        <v>1.52512</v>
      </c>
      <c r="D259" s="31" t="n">
        <v>0.00201</v>
      </c>
    </row>
    <row r="260">
      <c r="A260" s="30">
        <f>10000/B260</f>
        <v/>
      </c>
      <c r="B260" s="31" t="n">
        <v>4.0507</v>
      </c>
      <c r="C260" s="30" t="n">
        <v>1.52497</v>
      </c>
      <c r="D260" s="31" t="n">
        <v>0.00212</v>
      </c>
    </row>
    <row r="261">
      <c r="A261" s="30">
        <f>10000/B261</f>
        <v/>
      </c>
      <c r="B261" s="31" t="n">
        <v>4.0381</v>
      </c>
      <c r="C261" s="30" t="n">
        <v>1.52517</v>
      </c>
      <c r="D261" s="31" t="n">
        <v>0.00199</v>
      </c>
    </row>
    <row r="262">
      <c r="A262" s="30">
        <f>10000/B262</f>
        <v/>
      </c>
      <c r="B262" s="31" t="n">
        <v>4.0255</v>
      </c>
      <c r="C262" s="30" t="n">
        <v>1.52546</v>
      </c>
      <c r="D262" s="31" t="n">
        <v>0.00202</v>
      </c>
    </row>
    <row r="263">
      <c r="A263" s="30">
        <f>10000/B263</f>
        <v/>
      </c>
      <c r="B263" s="31" t="n">
        <v>4.0131</v>
      </c>
      <c r="C263" s="30" t="n">
        <v>1.52561</v>
      </c>
      <c r="D263" s="31" t="n">
        <v>0.0022</v>
      </c>
    </row>
    <row r="264">
      <c r="A264" s="30">
        <f>10000/B264</f>
        <v/>
      </c>
      <c r="B264" s="31" t="n">
        <v>4.0007</v>
      </c>
      <c r="C264" s="30" t="n">
        <v>1.52558</v>
      </c>
      <c r="D264" s="31" t="n">
        <v>0.0021</v>
      </c>
    </row>
    <row r="265">
      <c r="A265" s="30">
        <f>10000/B265</f>
        <v/>
      </c>
      <c r="B265" s="31" t="n">
        <v>3.9884</v>
      </c>
      <c r="C265" s="30" t="n">
        <v>1.52552</v>
      </c>
      <c r="D265" s="31" t="n">
        <v>0.00173</v>
      </c>
    </row>
    <row r="266">
      <c r="A266" s="30">
        <f>10000/B266</f>
        <v/>
      </c>
      <c r="B266" s="31" t="n">
        <v>3.9762</v>
      </c>
      <c r="C266" s="30" t="n">
        <v>1.52552</v>
      </c>
      <c r="D266" s="31" t="n">
        <v>0.00149</v>
      </c>
    </row>
    <row r="267">
      <c r="A267" s="30">
        <f>10000/B267</f>
        <v/>
      </c>
      <c r="B267" s="31" t="n">
        <v>3.964</v>
      </c>
      <c r="C267" s="30" t="n">
        <v>1.52565</v>
      </c>
      <c r="D267" s="31" t="n">
        <v>0.00147</v>
      </c>
    </row>
    <row r="268">
      <c r="A268" s="30">
        <f>10000/B268</f>
        <v/>
      </c>
      <c r="B268" s="31" t="n">
        <v>3.9519</v>
      </c>
      <c r="C268" s="30" t="n">
        <v>1.52582</v>
      </c>
      <c r="D268" s="31" t="n">
        <v>0.00163</v>
      </c>
    </row>
    <row r="269">
      <c r="A269" s="30">
        <f>10000/B269</f>
        <v/>
      </c>
      <c r="B269" s="31" t="n">
        <v>3.9399</v>
      </c>
      <c r="C269" s="30" t="n">
        <v>1.5257</v>
      </c>
      <c r="D269" s="31" t="n">
        <v>0.00194</v>
      </c>
    </row>
    <row r="270">
      <c r="A270" s="30">
        <f>10000/B270</f>
        <v/>
      </c>
      <c r="B270" s="31" t="n">
        <v>3.928</v>
      </c>
      <c r="C270" s="30" t="n">
        <v>1.52553</v>
      </c>
      <c r="D270" s="31" t="n">
        <v>0.00212</v>
      </c>
    </row>
    <row r="271">
      <c r="A271" s="30">
        <f>10000/B271</f>
        <v/>
      </c>
      <c r="B271" s="31" t="n">
        <v>3.9161</v>
      </c>
      <c r="C271" s="30" t="n">
        <v>1.52552</v>
      </c>
      <c r="D271" s="31" t="n">
        <v>0.00219</v>
      </c>
    </row>
    <row r="272">
      <c r="A272" s="30">
        <f>10000/B272</f>
        <v/>
      </c>
      <c r="B272" s="31" t="n">
        <v>3.9043</v>
      </c>
      <c r="C272" s="30" t="n">
        <v>1.52572</v>
      </c>
      <c r="D272" s="31" t="n">
        <v>0.00232</v>
      </c>
    </row>
    <row r="273">
      <c r="A273" s="30">
        <f>10000/B273</f>
        <v/>
      </c>
      <c r="B273" s="31" t="n">
        <v>3.8926</v>
      </c>
      <c r="C273" s="30" t="n">
        <v>1.52595</v>
      </c>
      <c r="D273" s="31" t="n">
        <v>0.00223</v>
      </c>
    </row>
    <row r="274">
      <c r="A274" s="30">
        <f>10000/B274</f>
        <v/>
      </c>
      <c r="B274" s="31" t="n">
        <v>3.8809</v>
      </c>
      <c r="C274" s="30" t="n">
        <v>1.52598</v>
      </c>
      <c r="D274" s="31" t="n">
        <v>0.00198</v>
      </c>
    </row>
    <row r="275">
      <c r="A275" s="30">
        <f>10000/B275</f>
        <v/>
      </c>
      <c r="B275" s="31" t="n">
        <v>3.8693</v>
      </c>
      <c r="C275" s="30" t="n">
        <v>1.52584</v>
      </c>
      <c r="D275" s="31" t="n">
        <v>0.00181</v>
      </c>
    </row>
    <row r="276">
      <c r="A276" s="30">
        <f>10000/B276</f>
        <v/>
      </c>
      <c r="B276" s="31" t="n">
        <v>3.8578</v>
      </c>
      <c r="C276" s="30" t="n">
        <v>1.5258</v>
      </c>
      <c r="D276" s="31" t="n">
        <v>0.00169</v>
      </c>
    </row>
    <row r="277">
      <c r="A277" s="30">
        <f>10000/B277</f>
        <v/>
      </c>
      <c r="B277" s="31" t="n">
        <v>3.8464</v>
      </c>
      <c r="C277" s="30" t="n">
        <v>1.52587</v>
      </c>
      <c r="D277" s="31" t="n">
        <v>0.0017</v>
      </c>
    </row>
    <row r="278">
      <c r="A278" s="30">
        <f>10000/B278</f>
        <v/>
      </c>
      <c r="B278" s="31" t="n">
        <v>3.835</v>
      </c>
      <c r="C278" s="30" t="n">
        <v>1.52586</v>
      </c>
      <c r="D278" s="31" t="n">
        <v>0.00173</v>
      </c>
    </row>
    <row r="279">
      <c r="A279" s="30">
        <f>10000/B279</f>
        <v/>
      </c>
      <c r="B279" s="31" t="n">
        <v>3.8237</v>
      </c>
      <c r="C279" s="30" t="n">
        <v>1.52571</v>
      </c>
      <c r="D279" s="31" t="n">
        <v>0.00176</v>
      </c>
    </row>
    <row r="280">
      <c r="A280" s="30">
        <f>10000/B280</f>
        <v/>
      </c>
      <c r="B280" s="31" t="n">
        <v>3.8124</v>
      </c>
      <c r="C280" s="30" t="n">
        <v>1.52545</v>
      </c>
      <c r="D280" s="31" t="n">
        <v>0.00177</v>
      </c>
    </row>
    <row r="281">
      <c r="A281" s="30">
        <f>10000/B281</f>
        <v/>
      </c>
      <c r="B281" s="31" t="n">
        <v>3.8013</v>
      </c>
      <c r="C281" s="30" t="n">
        <v>1.52541</v>
      </c>
      <c r="D281" s="31" t="n">
        <v>0.00182</v>
      </c>
    </row>
    <row r="282">
      <c r="A282" s="30">
        <f>10000/B282</f>
        <v/>
      </c>
      <c r="B282" s="31" t="n">
        <v>3.7901</v>
      </c>
      <c r="C282" s="30" t="n">
        <v>1.5257</v>
      </c>
      <c r="D282" s="31" t="n">
        <v>0.00185</v>
      </c>
    </row>
    <row r="283">
      <c r="A283" s="30">
        <f>10000/B283</f>
        <v/>
      </c>
      <c r="B283" s="31" t="n">
        <v>3.7791</v>
      </c>
      <c r="C283" s="30" t="n">
        <v>1.52587</v>
      </c>
      <c r="D283" s="31" t="n">
        <v>0.00186</v>
      </c>
    </row>
    <row r="284">
      <c r="A284" s="30">
        <f>10000/B284</f>
        <v/>
      </c>
      <c r="B284" s="31" t="n">
        <v>3.7681</v>
      </c>
      <c r="C284" s="30" t="n">
        <v>1.5257</v>
      </c>
      <c r="D284" s="31" t="n">
        <v>0.00206</v>
      </c>
    </row>
    <row r="285">
      <c r="A285" s="30">
        <f>10000/B285</f>
        <v/>
      </c>
      <c r="B285" s="31" t="n">
        <v>3.7572</v>
      </c>
      <c r="C285" s="30" t="n">
        <v>1.52562</v>
      </c>
      <c r="D285" s="31" t="n">
        <v>0.0022</v>
      </c>
    </row>
    <row r="286">
      <c r="A286" s="30">
        <f>10000/B286</f>
        <v/>
      </c>
      <c r="B286" s="31" t="n">
        <v>3.7463</v>
      </c>
      <c r="C286" s="30" t="n">
        <v>1.52612</v>
      </c>
      <c r="D286" s="31" t="n">
        <v>0.00213</v>
      </c>
    </row>
    <row r="287">
      <c r="A287" s="30">
        <f>10000/B287</f>
        <v/>
      </c>
      <c r="B287" s="31" t="n">
        <v>3.7355</v>
      </c>
      <c r="C287" s="30" t="n">
        <v>1.52675</v>
      </c>
      <c r="D287" s="31" t="n">
        <v>0.00182</v>
      </c>
    </row>
    <row r="288">
      <c r="A288" s="30">
        <f>10000/B288</f>
        <v/>
      </c>
      <c r="B288" s="31" t="n">
        <v>3.7248</v>
      </c>
      <c r="C288" s="30" t="n">
        <v>1.52673</v>
      </c>
      <c r="D288" s="31" t="n">
        <v>0.00142</v>
      </c>
    </row>
    <row r="289">
      <c r="A289" s="30">
        <f>10000/B289</f>
        <v/>
      </c>
      <c r="B289" s="31" t="n">
        <v>3.7141</v>
      </c>
      <c r="C289" s="30" t="n">
        <v>1.52646</v>
      </c>
      <c r="D289" s="31" t="n">
        <v>0.00137</v>
      </c>
    </row>
    <row r="290">
      <c r="A290" s="30">
        <f>10000/B290</f>
        <v/>
      </c>
      <c r="B290" s="31" t="n">
        <v>3.7035</v>
      </c>
      <c r="C290" s="30" t="n">
        <v>1.52666</v>
      </c>
      <c r="D290" s="31" t="n">
        <v>0.00169</v>
      </c>
    </row>
    <row r="291">
      <c r="A291" s="30">
        <f>10000/B291</f>
        <v/>
      </c>
      <c r="B291" s="31" t="n">
        <v>3.693</v>
      </c>
      <c r="C291" s="30" t="n">
        <v>1.52699</v>
      </c>
      <c r="D291" s="31" t="n">
        <v>0.00215</v>
      </c>
    </row>
    <row r="292">
      <c r="A292" s="30">
        <f>10000/B292</f>
        <v/>
      </c>
      <c r="B292" s="31" t="n">
        <v>3.6825</v>
      </c>
      <c r="C292" s="30" t="n">
        <v>1.52685</v>
      </c>
      <c r="D292" s="31" t="n">
        <v>0.00231</v>
      </c>
    </row>
    <row r="293">
      <c r="A293" s="30">
        <f>10000/B293</f>
        <v/>
      </c>
      <c r="B293" s="31" t="n">
        <v>3.672</v>
      </c>
      <c r="C293" s="30" t="n">
        <v>1.52648</v>
      </c>
      <c r="D293" s="31" t="n">
        <v>0.00224</v>
      </c>
    </row>
    <row r="294">
      <c r="A294" s="30">
        <f>10000/B294</f>
        <v/>
      </c>
      <c r="B294" s="31" t="n">
        <v>3.6617</v>
      </c>
      <c r="C294" s="30" t="n">
        <v>1.52647</v>
      </c>
      <c r="D294" s="31" t="n">
        <v>0.002</v>
      </c>
    </row>
    <row r="295">
      <c r="A295" s="30">
        <f>10000/B295</f>
        <v/>
      </c>
      <c r="B295" s="31" t="n">
        <v>3.6513</v>
      </c>
      <c r="C295" s="30" t="n">
        <v>1.5265</v>
      </c>
      <c r="D295" s="31" t="n">
        <v>0.00169</v>
      </c>
    </row>
    <row r="296">
      <c r="A296" s="30">
        <f>10000/B296</f>
        <v/>
      </c>
      <c r="B296" s="31" t="n">
        <v>3.6411</v>
      </c>
      <c r="C296" s="30" t="n">
        <v>1.52654</v>
      </c>
      <c r="D296" s="31" t="n">
        <v>0.00162</v>
      </c>
    </row>
    <row r="297">
      <c r="A297" s="30">
        <f>10000/B297</f>
        <v/>
      </c>
      <c r="B297" s="31" t="n">
        <v>3.6309</v>
      </c>
      <c r="C297" s="30" t="n">
        <v>1.5268</v>
      </c>
      <c r="D297" s="31" t="n">
        <v>0.00176</v>
      </c>
    </row>
    <row r="298">
      <c r="A298" s="30">
        <f>10000/B298</f>
        <v/>
      </c>
      <c r="B298" s="31" t="n">
        <v>3.6207</v>
      </c>
      <c r="C298" s="30" t="n">
        <v>1.52724</v>
      </c>
      <c r="D298" s="31" t="n">
        <v>0.00185</v>
      </c>
    </row>
    <row r="299">
      <c r="A299" s="30">
        <f>10000/B299</f>
        <v/>
      </c>
      <c r="B299" s="31" t="n">
        <v>3.6107</v>
      </c>
      <c r="C299" s="30" t="n">
        <v>1.52763</v>
      </c>
      <c r="D299" s="31" t="n">
        <v>0.00175</v>
      </c>
    </row>
    <row r="300">
      <c r="A300" s="30">
        <f>10000/B300</f>
        <v/>
      </c>
      <c r="B300" s="31" t="n">
        <v>3.6006</v>
      </c>
      <c r="C300" s="30" t="n">
        <v>1.52838</v>
      </c>
      <c r="D300" s="31" t="n">
        <v>0.00159</v>
      </c>
    </row>
    <row r="301">
      <c r="A301" s="30">
        <f>10000/B301</f>
        <v/>
      </c>
      <c r="B301" s="31" t="n">
        <v>3.5907</v>
      </c>
      <c r="C301" s="30" t="n">
        <v>1.5292</v>
      </c>
      <c r="D301" s="31" t="n">
        <v>0.00135</v>
      </c>
    </row>
    <row r="302">
      <c r="A302" s="30">
        <f>10000/B302</f>
        <v/>
      </c>
      <c r="B302" s="31" t="n">
        <v>3.5807</v>
      </c>
      <c r="C302" s="30" t="n">
        <v>1.52935</v>
      </c>
      <c r="D302" s="31" t="n">
        <v>0.00149</v>
      </c>
    </row>
    <row r="303">
      <c r="A303" s="30">
        <f>10000/B303</f>
        <v/>
      </c>
      <c r="B303" s="31" t="n">
        <v>3.5709</v>
      </c>
      <c r="C303" s="30" t="n">
        <v>1.52899</v>
      </c>
      <c r="D303" s="31" t="n">
        <v>0.00215</v>
      </c>
    </row>
    <row r="304">
      <c r="A304" s="30">
        <f>10000/B304</f>
        <v/>
      </c>
      <c r="B304" s="31" t="n">
        <v>3.5611</v>
      </c>
      <c r="C304" s="30" t="n">
        <v>1.5286</v>
      </c>
      <c r="D304" s="31" t="n">
        <v>0.00292</v>
      </c>
    </row>
    <row r="305">
      <c r="A305" s="30">
        <f>10000/B305</f>
        <v/>
      </c>
      <c r="B305" s="31" t="n">
        <v>3.5513</v>
      </c>
      <c r="C305" s="30" t="n">
        <v>1.5283</v>
      </c>
      <c r="D305" s="31" t="n">
        <v>0.00316</v>
      </c>
    </row>
    <row r="306">
      <c r="A306" s="30">
        <f>10000/B306</f>
        <v/>
      </c>
      <c r="B306" s="31" t="n">
        <v>3.5416</v>
      </c>
      <c r="C306" s="30" t="n">
        <v>1.52836</v>
      </c>
      <c r="D306" s="31" t="n">
        <v>0.00288</v>
      </c>
    </row>
    <row r="307">
      <c r="A307" s="30">
        <f>10000/B307</f>
        <v/>
      </c>
      <c r="B307" s="31" t="n">
        <v>3.532</v>
      </c>
      <c r="C307" s="30" t="n">
        <v>1.52906</v>
      </c>
      <c r="D307" s="31" t="n">
        <v>0.00285</v>
      </c>
    </row>
    <row r="308">
      <c r="A308" s="30">
        <f>10000/B308</f>
        <v/>
      </c>
      <c r="B308" s="31" t="n">
        <v>3.5224</v>
      </c>
      <c r="C308" s="30" t="n">
        <v>1.53005</v>
      </c>
      <c r="D308" s="31" t="n">
        <v>0.0038</v>
      </c>
    </row>
    <row r="309">
      <c r="A309" s="30">
        <f>10000/B309</f>
        <v/>
      </c>
      <c r="B309" s="31" t="n">
        <v>3.5128</v>
      </c>
      <c r="C309" s="30" t="n">
        <v>1.53012</v>
      </c>
      <c r="D309" s="31" t="n">
        <v>0.00521</v>
      </c>
    </row>
    <row r="310">
      <c r="A310" s="30">
        <f>10000/B310</f>
        <v/>
      </c>
      <c r="B310" s="31" t="n">
        <v>3.5033</v>
      </c>
      <c r="C310" s="30" t="n">
        <v>1.52935</v>
      </c>
      <c r="D310" s="31" t="n">
        <v>0.00597</v>
      </c>
    </row>
    <row r="311">
      <c r="A311" s="30">
        <f>10000/B311</f>
        <v/>
      </c>
      <c r="B311" s="31" t="n">
        <v>3.4939</v>
      </c>
      <c r="C311" s="30" t="n">
        <v>1.52903</v>
      </c>
      <c r="D311" s="31" t="n">
        <v>0.00576</v>
      </c>
    </row>
    <row r="312">
      <c r="A312" s="30">
        <f>10000/B312</f>
        <v/>
      </c>
      <c r="B312" s="31" t="n">
        <v>3.4845</v>
      </c>
      <c r="C312" s="30" t="n">
        <v>1.52968</v>
      </c>
      <c r="D312" s="31" t="n">
        <v>0.00507</v>
      </c>
    </row>
    <row r="313">
      <c r="A313" s="30">
        <f>10000/B313</f>
        <v/>
      </c>
      <c r="B313" s="31" t="n">
        <v>3.4751</v>
      </c>
      <c r="C313" s="30" t="n">
        <v>1.53118</v>
      </c>
      <c r="D313" s="31" t="n">
        <v>0.00465</v>
      </c>
    </row>
    <row r="314">
      <c r="A314" s="30">
        <f>10000/B314</f>
        <v/>
      </c>
      <c r="B314" s="31" t="n">
        <v>3.4658</v>
      </c>
      <c r="C314" s="30" t="n">
        <v>1.53307</v>
      </c>
      <c r="D314" s="31" t="n">
        <v>0.00529</v>
      </c>
    </row>
    <row r="315">
      <c r="A315" s="30">
        <f>10000/B315</f>
        <v/>
      </c>
      <c r="B315" s="31" t="n">
        <v>3.4566</v>
      </c>
      <c r="C315" s="30" t="n">
        <v>1.53433</v>
      </c>
      <c r="D315" s="31" t="n">
        <v>0.00749</v>
      </c>
    </row>
    <row r="316">
      <c r="A316" s="30">
        <f>10000/B316</f>
        <v/>
      </c>
      <c r="B316" s="31" t="n">
        <v>3.4474</v>
      </c>
      <c r="C316" s="30" t="n">
        <v>1.53404</v>
      </c>
      <c r="D316" s="31" t="n">
        <v>0.0107</v>
      </c>
    </row>
    <row r="317">
      <c r="A317" s="30">
        <f>10000/B317</f>
        <v/>
      </c>
      <c r="B317" s="31" t="n">
        <v>3.4383</v>
      </c>
      <c r="C317" s="30" t="n">
        <v>1.53189</v>
      </c>
      <c r="D317" s="31" t="n">
        <v>0.0133</v>
      </c>
    </row>
    <row r="318">
      <c r="A318" s="30">
        <f>10000/B318</f>
        <v/>
      </c>
      <c r="B318" s="31" t="n">
        <v>3.4292</v>
      </c>
      <c r="C318" s="30" t="n">
        <v>1.52835</v>
      </c>
      <c r="D318" s="31" t="n">
        <v>0.0143</v>
      </c>
    </row>
    <row r="319">
      <c r="A319" s="30">
        <f>10000/B319</f>
        <v/>
      </c>
      <c r="B319" s="31" t="n">
        <v>3.4111</v>
      </c>
      <c r="C319" s="30" t="n">
        <v>1.5231</v>
      </c>
      <c r="D319" s="31" t="n">
        <v>0.0132</v>
      </c>
    </row>
    <row r="320">
      <c r="A320" s="30">
        <f>10000/B320</f>
        <v/>
      </c>
      <c r="B320" s="31" t="n">
        <v>3.4022</v>
      </c>
      <c r="C320" s="30" t="n">
        <v>1.52262</v>
      </c>
      <c r="D320" s="31" t="n">
        <v>0.0122</v>
      </c>
    </row>
    <row r="321">
      <c r="A321" s="30">
        <f>10000/B321</f>
        <v/>
      </c>
      <c r="B321" s="31" t="n">
        <v>3.3933</v>
      </c>
      <c r="C321" s="30" t="n">
        <v>1.52256</v>
      </c>
      <c r="D321" s="31" t="n">
        <v>0.0114</v>
      </c>
    </row>
    <row r="322">
      <c r="A322" s="30">
        <f>10000/B322</f>
        <v/>
      </c>
      <c r="B322" s="31" t="n">
        <v>3.3844</v>
      </c>
      <c r="C322" s="30" t="n">
        <v>1.522</v>
      </c>
      <c r="D322" s="31" t="n">
        <v>0.0111</v>
      </c>
    </row>
    <row r="323">
      <c r="A323" s="30">
        <f>10000/B323</f>
        <v/>
      </c>
      <c r="B323" s="31" t="n">
        <v>3.3756</v>
      </c>
      <c r="C323" s="30" t="n">
        <v>1.5206</v>
      </c>
      <c r="D323" s="31" t="n">
        <v>0.011</v>
      </c>
    </row>
    <row r="324">
      <c r="A324" s="30">
        <f>10000/B324</f>
        <v/>
      </c>
      <c r="B324" s="31" t="n">
        <v>3.3668</v>
      </c>
      <c r="C324" s="30" t="n">
        <v>1.5188</v>
      </c>
      <c r="D324" s="31" t="n">
        <v>0.0101</v>
      </c>
    </row>
    <row r="325">
      <c r="A325" s="30">
        <f>10000/B325</f>
        <v/>
      </c>
      <c r="B325" s="31" t="n">
        <v>3.3581</v>
      </c>
      <c r="C325" s="30" t="n">
        <v>1.51761</v>
      </c>
      <c r="D325" s="31" t="n">
        <v>0.00801</v>
      </c>
    </row>
    <row r="326">
      <c r="A326" s="30">
        <f>10000/B326</f>
        <v/>
      </c>
      <c r="B326" s="31" t="n">
        <v>3.3494</v>
      </c>
      <c r="C326" s="30" t="n">
        <v>1.51754</v>
      </c>
      <c r="D326" s="31" t="n">
        <v>0.00576</v>
      </c>
    </row>
    <row r="327">
      <c r="A327" s="30">
        <f>10000/B327</f>
        <v/>
      </c>
      <c r="B327" s="31" t="n">
        <v>3.3322</v>
      </c>
      <c r="C327" s="30" t="n">
        <v>1.51867</v>
      </c>
      <c r="D327" s="31" t="n">
        <v>0.00374</v>
      </c>
    </row>
    <row r="328">
      <c r="A328" s="30">
        <f>10000/B328</f>
        <v/>
      </c>
      <c r="B328" s="31" t="n">
        <v>3.3237</v>
      </c>
      <c r="C328" s="30" t="n">
        <v>1.51941</v>
      </c>
      <c r="D328" s="31" t="n">
        <v>0.0032</v>
      </c>
    </row>
    <row r="329">
      <c r="A329" s="30">
        <f>10000/B329</f>
        <v/>
      </c>
      <c r="B329" s="31" t="n">
        <v>3.3152</v>
      </c>
      <c r="C329" s="30" t="n">
        <v>1.52021</v>
      </c>
      <c r="D329" s="31" t="n">
        <v>0.00265</v>
      </c>
    </row>
    <row r="330">
      <c r="A330" s="30">
        <f>10000/B330</f>
        <v/>
      </c>
      <c r="B330" s="31" t="n">
        <v>3.3067</v>
      </c>
      <c r="C330" s="30" t="n">
        <v>1.52059</v>
      </c>
      <c r="D330" s="31" t="n">
        <v>0.00228</v>
      </c>
    </row>
    <row r="331">
      <c r="A331" s="30">
        <f>10000/B331</f>
        <v/>
      </c>
      <c r="B331" s="31" t="n">
        <v>3.2983</v>
      </c>
      <c r="C331" s="30" t="n">
        <v>1.52092</v>
      </c>
      <c r="D331" s="31" t="n">
        <v>0.00212</v>
      </c>
    </row>
    <row r="332">
      <c r="A332" s="30">
        <f>10000/B332</f>
        <v/>
      </c>
      <c r="B332" s="31" t="n">
        <v>3.2899</v>
      </c>
      <c r="C332" s="30" t="n">
        <v>1.52166</v>
      </c>
      <c r="D332" s="31" t="n">
        <v>0.002</v>
      </c>
    </row>
    <row r="333">
      <c r="A333" s="30">
        <f>10000/B333</f>
        <v/>
      </c>
      <c r="B333" s="31" t="n">
        <v>3.2733</v>
      </c>
      <c r="C333" s="30" t="n">
        <v>1.52275</v>
      </c>
      <c r="D333" s="31" t="n">
        <v>0.00196</v>
      </c>
    </row>
    <row r="334">
      <c r="A334" s="30">
        <f>10000/B334</f>
        <v/>
      </c>
      <c r="B334" s="31" t="n">
        <v>3.2651</v>
      </c>
      <c r="C334" s="30" t="n">
        <v>1.52259</v>
      </c>
      <c r="D334" s="31" t="n">
        <v>0.00189</v>
      </c>
    </row>
    <row r="335">
      <c r="A335" s="30">
        <f>10000/B335</f>
        <v/>
      </c>
      <c r="B335" s="31" t="n">
        <v>3.2569</v>
      </c>
      <c r="C335" s="30" t="n">
        <v>1.5224</v>
      </c>
      <c r="D335" s="31" t="n">
        <v>0.00178</v>
      </c>
    </row>
    <row r="336">
      <c r="A336" s="30">
        <f>10000/B336</f>
        <v/>
      </c>
      <c r="B336" s="31" t="n">
        <v>3.2487</v>
      </c>
      <c r="C336" s="30" t="n">
        <v>1.52255</v>
      </c>
      <c r="D336" s="31" t="n">
        <v>0.00206</v>
      </c>
    </row>
    <row r="337">
      <c r="A337" s="30">
        <f>10000/B337</f>
        <v/>
      </c>
      <c r="B337" s="31" t="n">
        <v>3.2325</v>
      </c>
      <c r="C337" s="30" t="n">
        <v>1.52324</v>
      </c>
      <c r="D337" s="31" t="n">
        <v>0.00281</v>
      </c>
    </row>
    <row r="338">
      <c r="A338" s="30">
        <f>10000/B338</f>
        <v/>
      </c>
      <c r="B338" s="31" t="n">
        <v>3.2244</v>
      </c>
      <c r="C338" s="30" t="n">
        <v>1.5233</v>
      </c>
      <c r="D338" s="31" t="n">
        <v>0.00249</v>
      </c>
    </row>
    <row r="339">
      <c r="A339" s="30">
        <f>10000/B339</f>
        <v/>
      </c>
      <c r="B339" s="31" t="n">
        <v>3.2164</v>
      </c>
      <c r="C339" s="30" t="n">
        <v>1.52328</v>
      </c>
      <c r="D339" s="31" t="n">
        <v>0.00215</v>
      </c>
    </row>
    <row r="340">
      <c r="A340" s="30">
        <f>10000/B340</f>
        <v/>
      </c>
      <c r="B340" s="31" t="n">
        <v>3.2085</v>
      </c>
      <c r="C340" s="30" t="n">
        <v>1.52346</v>
      </c>
      <c r="D340" s="31" t="n">
        <v>0.00214</v>
      </c>
    </row>
    <row r="341">
      <c r="A341" s="30">
        <f>10000/B341</f>
        <v/>
      </c>
      <c r="B341" s="31" t="n">
        <v>3.1927</v>
      </c>
      <c r="C341" s="30" t="n">
        <v>1.52405</v>
      </c>
      <c r="D341" s="31" t="n">
        <v>0.00205</v>
      </c>
    </row>
    <row r="342">
      <c r="A342" s="30">
        <f>10000/B342</f>
        <v/>
      </c>
      <c r="B342" s="31" t="n">
        <v>3.1848</v>
      </c>
      <c r="C342" s="30" t="n">
        <v>1.52407</v>
      </c>
      <c r="D342" s="31" t="n">
        <v>0.00191</v>
      </c>
    </row>
    <row r="343">
      <c r="A343" s="30">
        <f>10000/B343</f>
        <v/>
      </c>
      <c r="B343" s="31" t="n">
        <v>3.177</v>
      </c>
      <c r="C343" s="30" t="n">
        <v>1.52397</v>
      </c>
      <c r="D343" s="31" t="n">
        <v>0.00167</v>
      </c>
    </row>
    <row r="344">
      <c r="A344" s="30">
        <f>10000/B344</f>
        <v/>
      </c>
      <c r="B344" s="31" t="n">
        <v>3.1693</v>
      </c>
      <c r="C344" s="30" t="n">
        <v>1.52397</v>
      </c>
      <c r="D344" s="31" t="n">
        <v>0.0014</v>
      </c>
    </row>
    <row r="345">
      <c r="A345" s="30">
        <f>10000/B345</f>
        <v/>
      </c>
      <c r="B345" s="31" t="n">
        <v>3.1538</v>
      </c>
      <c r="C345" s="30" t="n">
        <v>1.52435</v>
      </c>
      <c r="D345" s="31" t="n">
        <v>0.00174</v>
      </c>
    </row>
    <row r="346">
      <c r="A346" s="30">
        <f>10000/B346</f>
        <v/>
      </c>
      <c r="B346" s="31" t="n">
        <v>3.1462</v>
      </c>
      <c r="C346" s="30" t="n">
        <v>1.52477</v>
      </c>
      <c r="D346" s="31" t="n">
        <v>0.00176</v>
      </c>
    </row>
    <row r="347">
      <c r="A347" s="30">
        <f>10000/B347</f>
        <v/>
      </c>
      <c r="B347" s="31" t="n">
        <v>3.1386</v>
      </c>
      <c r="C347" s="30" t="n">
        <v>1.52508</v>
      </c>
      <c r="D347" s="31" t="n">
        <v>0.00158</v>
      </c>
    </row>
    <row r="348">
      <c r="A348" s="30">
        <f>10000/B348</f>
        <v/>
      </c>
      <c r="B348" s="31" t="n">
        <v>3.1234</v>
      </c>
      <c r="C348" s="30" t="n">
        <v>1.52501</v>
      </c>
      <c r="D348" s="31" t="n">
        <v>0.0019</v>
      </c>
    </row>
    <row r="349">
      <c r="A349" s="30">
        <f>10000/B349</f>
        <v/>
      </c>
      <c r="B349" s="31" t="n">
        <v>3.1159</v>
      </c>
      <c r="C349" s="30" t="n">
        <v>1.52501</v>
      </c>
      <c r="D349" s="31" t="n">
        <v>0.00228</v>
      </c>
    </row>
    <row r="350">
      <c r="A350" s="30">
        <f>10000/B350</f>
        <v/>
      </c>
      <c r="B350" s="31" t="n">
        <v>3.1085</v>
      </c>
      <c r="C350" s="30" t="n">
        <v>1.52509</v>
      </c>
      <c r="D350" s="31" t="n">
        <v>0.00239</v>
      </c>
    </row>
    <row r="351">
      <c r="A351" s="30">
        <f>10000/B351</f>
        <v/>
      </c>
      <c r="B351" s="31" t="n">
        <v>3.0936</v>
      </c>
      <c r="C351" s="30" t="n">
        <v>1.52488</v>
      </c>
      <c r="D351" s="31" t="n">
        <v>0.00237</v>
      </c>
    </row>
    <row r="352">
      <c r="A352" s="30">
        <f>10000/B352</f>
        <v/>
      </c>
      <c r="B352" s="31" t="n">
        <v>3.0863</v>
      </c>
      <c r="C352" s="30" t="n">
        <v>1.52469</v>
      </c>
      <c r="D352" s="31" t="n">
        <v>0.00244</v>
      </c>
    </row>
    <row r="353">
      <c r="A353" s="30">
        <f>10000/B353</f>
        <v/>
      </c>
      <c r="B353" s="31" t="n">
        <v>3.0789</v>
      </c>
      <c r="C353" s="30" t="n">
        <v>1.5248</v>
      </c>
      <c r="D353" s="31" t="n">
        <v>0.00234</v>
      </c>
    </row>
    <row r="354">
      <c r="A354" s="30">
        <f>10000/B354</f>
        <v/>
      </c>
      <c r="B354" s="31" t="n">
        <v>3.0644</v>
      </c>
      <c r="C354" s="30" t="n">
        <v>1.52529</v>
      </c>
      <c r="D354" s="31" t="n">
        <v>0.00188</v>
      </c>
    </row>
    <row r="355">
      <c r="A355" s="30">
        <f>10000/B355</f>
        <v/>
      </c>
      <c r="B355" s="31" t="n">
        <v>3.0571</v>
      </c>
      <c r="C355" s="30" t="n">
        <v>1.52548</v>
      </c>
      <c r="D355" s="31" t="n">
        <v>0.00183</v>
      </c>
    </row>
    <row r="356">
      <c r="A356" s="30">
        <f>10000/B356</f>
        <v/>
      </c>
      <c r="B356" s="31" t="n">
        <v>3.0499</v>
      </c>
      <c r="C356" s="30" t="n">
        <v>1.52543</v>
      </c>
      <c r="D356" s="31" t="n">
        <v>0.00206</v>
      </c>
    </row>
    <row r="357">
      <c r="A357" s="30">
        <f>10000/B357</f>
        <v/>
      </c>
      <c r="B357" s="31" t="n">
        <v>3.0357</v>
      </c>
      <c r="C357" s="30" t="n">
        <v>1.52536</v>
      </c>
      <c r="D357" s="31" t="n">
        <v>0.00263</v>
      </c>
    </row>
    <row r="358">
      <c r="A358" s="30">
        <f>10000/B358</f>
        <v/>
      </c>
      <c r="B358" s="31" t="n">
        <v>3.0286</v>
      </c>
      <c r="C358" s="30" t="n">
        <v>1.52537</v>
      </c>
      <c r="D358" s="31" t="n">
        <v>0.0027</v>
      </c>
    </row>
    <row r="359">
      <c r="A359" s="30">
        <f>10000/B359</f>
        <v/>
      </c>
      <c r="B359" s="31" t="n">
        <v>3.0145</v>
      </c>
      <c r="C359" s="30" t="n">
        <v>1.52475</v>
      </c>
      <c r="D359" s="31" t="n">
        <v>0.00339</v>
      </c>
    </row>
    <row r="360">
      <c r="A360" s="30">
        <f>10000/B360</f>
        <v/>
      </c>
      <c r="B360" s="31" t="n">
        <v>3.0075</v>
      </c>
      <c r="C360" s="30" t="n">
        <v>1.52414</v>
      </c>
      <c r="D360" s="31" t="n">
        <v>0.00368</v>
      </c>
    </row>
    <row r="361">
      <c r="A361" s="30">
        <f>10000/B361</f>
        <v/>
      </c>
      <c r="B361" s="31" t="n">
        <v>2.9936</v>
      </c>
      <c r="C361" s="30" t="n">
        <v>1.52339</v>
      </c>
      <c r="D361" s="31" t="n">
        <v>0.00285</v>
      </c>
    </row>
    <row r="362">
      <c r="A362" s="30">
        <f>10000/B362</f>
        <v/>
      </c>
      <c r="B362" s="31" t="n">
        <v>2.9867</v>
      </c>
      <c r="C362" s="30" t="n">
        <v>1.52322</v>
      </c>
      <c r="D362" s="31" t="n">
        <v>0.00245</v>
      </c>
    </row>
    <row r="363">
      <c r="A363" s="30">
        <f>10000/B363</f>
        <v/>
      </c>
      <c r="B363" s="31" t="n">
        <v>2.9798</v>
      </c>
      <c r="C363" s="30" t="n">
        <v>1.52349</v>
      </c>
      <c r="D363" s="31" t="n">
        <v>0.00222</v>
      </c>
    </row>
    <row r="364">
      <c r="A364" s="30">
        <f>10000/B364</f>
        <v/>
      </c>
      <c r="B364" s="31" t="n">
        <v>2.9662</v>
      </c>
      <c r="C364" s="30" t="n">
        <v>1.52519</v>
      </c>
      <c r="D364" s="31" t="n">
        <v>0.00237</v>
      </c>
    </row>
    <row r="365">
      <c r="A365" s="30">
        <f>10000/B365</f>
        <v/>
      </c>
      <c r="B365" s="31" t="n">
        <v>2.9594</v>
      </c>
      <c r="C365" s="30" t="n">
        <v>1.52565</v>
      </c>
      <c r="D365" s="31" t="n">
        <v>0.0025</v>
      </c>
    </row>
    <row r="366">
      <c r="A366" s="30">
        <f>10000/B366</f>
        <v/>
      </c>
      <c r="B366" s="31" t="n">
        <v>2.946</v>
      </c>
      <c r="C366" s="30" t="n">
        <v>1.52567</v>
      </c>
      <c r="D366" s="31" t="n">
        <v>0.00271</v>
      </c>
    </row>
    <row r="367">
      <c r="A367" s="30">
        <f>10000/B367</f>
        <v/>
      </c>
      <c r="B367" s="31" t="n">
        <v>2.9393</v>
      </c>
      <c r="C367" s="30" t="n">
        <v>1.52529</v>
      </c>
      <c r="D367" s="31" t="n">
        <v>0.00266</v>
      </c>
    </row>
    <row r="368">
      <c r="A368" s="30">
        <f>10000/B368</f>
        <v/>
      </c>
      <c r="B368" s="31" t="n">
        <v>2.926</v>
      </c>
      <c r="C368" s="30" t="n">
        <v>1.52392</v>
      </c>
      <c r="D368" s="31" t="n">
        <v>0.00282</v>
      </c>
    </row>
    <row r="369">
      <c r="A369" s="30">
        <f>10000/B369</f>
        <v/>
      </c>
      <c r="B369" s="31" t="n">
        <v>2.9194</v>
      </c>
      <c r="C369" s="30" t="n">
        <v>1.52398</v>
      </c>
      <c r="D369" s="31" t="n">
        <v>0.00304</v>
      </c>
    </row>
    <row r="370">
      <c r="A370" s="30">
        <f>10000/B370</f>
        <v/>
      </c>
      <c r="B370" s="31" t="n">
        <v>2.9063</v>
      </c>
      <c r="C370" s="30" t="n">
        <v>1.52483</v>
      </c>
      <c r="D370" s="31" t="n">
        <v>0.0036</v>
      </c>
    </row>
    <row r="371">
      <c r="A371" s="30">
        <f>10000/B371</f>
        <v/>
      </c>
      <c r="B371" s="31" t="n">
        <v>2.8998</v>
      </c>
      <c r="C371" s="30" t="n">
        <v>1.52502</v>
      </c>
      <c r="D371" s="31" t="n">
        <v>0.00391</v>
      </c>
    </row>
    <row r="372">
      <c r="A372" s="30">
        <f>10000/B372</f>
        <v/>
      </c>
      <c r="B372" s="31" t="n">
        <v>2.8869</v>
      </c>
      <c r="C372" s="30" t="n">
        <v>1.5249</v>
      </c>
      <c r="D372" s="31" t="n">
        <v>0.00397</v>
      </c>
    </row>
    <row r="373">
      <c r="A373" s="30">
        <f>10000/B373</f>
        <v/>
      </c>
      <c r="B373" s="31" t="n">
        <v>2.8741</v>
      </c>
      <c r="C373" s="30" t="n">
        <v>1.52527</v>
      </c>
      <c r="D373" s="31" t="n">
        <v>0.00309</v>
      </c>
    </row>
    <row r="374">
      <c r="A374" s="30">
        <f>10000/B374</f>
        <v/>
      </c>
      <c r="B374" s="31" t="n">
        <v>2.8678</v>
      </c>
      <c r="C374" s="30" t="n">
        <v>1.52557</v>
      </c>
      <c r="D374" s="31" t="n">
        <v>0.00274</v>
      </c>
    </row>
    <row r="375">
      <c r="A375" s="30">
        <f>10000/B375</f>
        <v/>
      </c>
      <c r="B375" s="31" t="n">
        <v>2.8551</v>
      </c>
      <c r="C375" s="30" t="n">
        <v>1.52563</v>
      </c>
      <c r="D375" s="31" t="n">
        <v>0.00251</v>
      </c>
    </row>
    <row r="376">
      <c r="A376" s="30">
        <f>10000/B376</f>
        <v/>
      </c>
      <c r="B376" s="31" t="n">
        <v>2.8489</v>
      </c>
      <c r="C376" s="30" t="n">
        <v>1.52515</v>
      </c>
      <c r="D376" s="31" t="n">
        <v>0.00247</v>
      </c>
    </row>
    <row r="377">
      <c r="A377" s="30">
        <f>10000/B377</f>
        <v/>
      </c>
      <c r="B377" s="31" t="n">
        <v>2.8364</v>
      </c>
      <c r="C377" s="30" t="n">
        <v>1.52407</v>
      </c>
      <c r="D377" s="31" t="n">
        <v>0.00272</v>
      </c>
    </row>
    <row r="378">
      <c r="A378" s="30">
        <f>10000/B378</f>
        <v/>
      </c>
      <c r="B378" s="31" t="n">
        <v>2.824</v>
      </c>
      <c r="C378" s="30" t="n">
        <v>1.52308</v>
      </c>
      <c r="D378" s="31" t="n">
        <v>0.00275</v>
      </c>
    </row>
    <row r="379">
      <c r="A379" s="30">
        <f>10000/B379</f>
        <v/>
      </c>
      <c r="B379" s="31" t="n">
        <v>2.8179</v>
      </c>
      <c r="C379" s="30" t="n">
        <v>1.52326</v>
      </c>
      <c r="D379" s="31" t="n">
        <v>0.00277</v>
      </c>
    </row>
    <row r="380">
      <c r="A380" s="30">
        <f>10000/B380</f>
        <v/>
      </c>
      <c r="B380" s="31" t="n">
        <v>2.8057</v>
      </c>
      <c r="C380" s="30" t="n">
        <v>1.52526</v>
      </c>
      <c r="D380" s="31" t="n">
        <v>0.00322</v>
      </c>
    </row>
    <row r="381">
      <c r="A381" s="30">
        <f>10000/B381</f>
        <v/>
      </c>
      <c r="B381" s="31" t="n">
        <v>2.7996</v>
      </c>
      <c r="C381" s="30" t="n">
        <v>1.52614</v>
      </c>
      <c r="D381" s="31" t="n">
        <v>0.00339</v>
      </c>
    </row>
    <row r="382">
      <c r="A382" s="30">
        <f>10000/B382</f>
        <v/>
      </c>
      <c r="B382" s="31" t="n">
        <v>2.7876</v>
      </c>
      <c r="C382" s="30" t="n">
        <v>1.52576</v>
      </c>
      <c r="D382" s="31" t="n">
        <v>0.00324</v>
      </c>
    </row>
    <row r="383">
      <c r="A383" s="30">
        <f>10000/B383</f>
        <v/>
      </c>
      <c r="B383" s="31" t="n">
        <v>2.7756</v>
      </c>
      <c r="C383" s="30" t="n">
        <v>1.52482</v>
      </c>
      <c r="D383" s="31" t="n">
        <v>0.00284</v>
      </c>
    </row>
    <row r="384">
      <c r="A384" s="30">
        <f>10000/B384</f>
        <v/>
      </c>
      <c r="B384" s="31" t="n">
        <v>2.7697</v>
      </c>
      <c r="C384" s="30" t="n">
        <v>1.52471</v>
      </c>
      <c r="D384" s="31" t="n">
        <v>0.00276</v>
      </c>
    </row>
    <row r="385">
      <c r="A385" s="30">
        <f>10000/B385</f>
        <v/>
      </c>
      <c r="B385" s="31" t="n">
        <v>2.7579</v>
      </c>
      <c r="C385" s="30" t="n">
        <v>1.52457</v>
      </c>
      <c r="D385" s="31" t="n">
        <v>0.00258</v>
      </c>
    </row>
    <row r="386">
      <c r="A386" s="30">
        <f>10000/B386</f>
        <v/>
      </c>
      <c r="B386" s="31" t="n">
        <v>2.7462</v>
      </c>
      <c r="C386" s="30" t="n">
        <v>1.52428</v>
      </c>
      <c r="D386" s="31" t="n">
        <v>0.00209</v>
      </c>
    </row>
    <row r="387">
      <c r="A387" s="30">
        <f>10000/B387</f>
        <v/>
      </c>
      <c r="B387" s="31" t="n">
        <v>2.7347</v>
      </c>
      <c r="C387" s="30" t="n">
        <v>1.52457</v>
      </c>
      <c r="D387" s="31" t="n">
        <v>0.00193</v>
      </c>
    </row>
    <row r="388">
      <c r="A388" s="30">
        <f>10000/B388</f>
        <v/>
      </c>
      <c r="B388" s="31" t="n">
        <v>2.7289</v>
      </c>
      <c r="C388" s="30" t="n">
        <v>1.52491</v>
      </c>
      <c r="D388" s="31" t="n">
        <v>0.00194</v>
      </c>
    </row>
    <row r="389">
      <c r="A389" s="30">
        <f>10000/B389</f>
        <v/>
      </c>
      <c r="B389" s="31" t="n">
        <v>2.7175</v>
      </c>
      <c r="C389" s="30" t="n">
        <v>1.52536</v>
      </c>
      <c r="D389" s="31" t="n">
        <v>0.00213</v>
      </c>
    </row>
    <row r="390">
      <c r="A390" s="30">
        <f>10000/B390</f>
        <v/>
      </c>
      <c r="B390" s="31" t="n">
        <v>2.7061</v>
      </c>
      <c r="C390" s="30" t="n">
        <v>1.52452</v>
      </c>
      <c r="D390" s="31" t="n">
        <v>0.00262</v>
      </c>
    </row>
    <row r="391">
      <c r="A391" s="30">
        <f>10000/B391</f>
        <v/>
      </c>
      <c r="B391" s="31" t="n">
        <v>2.6949</v>
      </c>
      <c r="C391" s="30" t="n">
        <v>1.52441</v>
      </c>
      <c r="D391" s="31" t="n">
        <v>0.00271</v>
      </c>
    </row>
    <row r="392">
      <c r="A392" s="30">
        <f>10000/B392</f>
        <v/>
      </c>
      <c r="B392" s="31" t="n">
        <v>2.6893</v>
      </c>
      <c r="C392" s="30" t="n">
        <v>1.5251</v>
      </c>
      <c r="D392" s="31" t="n">
        <v>0.00274</v>
      </c>
    </row>
    <row r="393">
      <c r="A393" s="30">
        <f>10000/B393</f>
        <v/>
      </c>
      <c r="B393" s="31" t="n">
        <v>2.6782</v>
      </c>
      <c r="C393" s="30" t="n">
        <v>1.52708</v>
      </c>
      <c r="D393" s="31" t="n">
        <v>0.00285</v>
      </c>
    </row>
    <row r="394">
      <c r="A394" s="30">
        <f>10000/B394</f>
        <v/>
      </c>
      <c r="B394" s="31" t="n">
        <v>2.6671</v>
      </c>
      <c r="C394" s="30" t="n">
        <v>1.52753</v>
      </c>
      <c r="D394" s="31" t="n">
        <v>0.00265</v>
      </c>
    </row>
    <row r="395">
      <c r="A395" s="30">
        <f>10000/B395</f>
        <v/>
      </c>
      <c r="B395" s="31" t="n">
        <v>2.6562</v>
      </c>
      <c r="C395" s="30" t="n">
        <v>1.52626</v>
      </c>
      <c r="D395" s="31" t="n">
        <v>0.00262</v>
      </c>
    </row>
    <row r="396">
      <c r="A396" s="30">
        <f>10000/B396</f>
        <v/>
      </c>
      <c r="B396" s="31" t="n">
        <v>2.6454</v>
      </c>
      <c r="C396" s="30" t="n">
        <v>1.52478</v>
      </c>
      <c r="D396" s="31" t="n">
        <v>0.00255</v>
      </c>
    </row>
    <row r="397">
      <c r="A397" s="30">
        <f>10000/B397</f>
        <v/>
      </c>
      <c r="B397" s="31" t="n">
        <v>2.64</v>
      </c>
      <c r="C397" s="30" t="n">
        <v>1.52412</v>
      </c>
      <c r="D397" s="31" t="n">
        <v>0.00244</v>
      </c>
    </row>
    <row r="398">
      <c r="A398" s="30">
        <f>10000/B398</f>
        <v/>
      </c>
      <c r="B398" s="31" t="n">
        <v>2.6293</v>
      </c>
      <c r="C398" s="30" t="n">
        <v>1.52353</v>
      </c>
      <c r="D398" s="31" t="n">
        <v>0.00245</v>
      </c>
    </row>
    <row r="399">
      <c r="A399" s="30">
        <f>10000/B399</f>
        <v/>
      </c>
      <c r="B399" s="31" t="n">
        <v>2.6186</v>
      </c>
      <c r="C399" s="30" t="n">
        <v>1.52403</v>
      </c>
      <c r="D399" s="31" t="n">
        <v>0.00289</v>
      </c>
    </row>
    <row r="400">
      <c r="A400" s="30">
        <f>10000/B400</f>
        <v/>
      </c>
      <c r="B400" s="31" t="n">
        <v>2.6081</v>
      </c>
      <c r="C400" s="30" t="n">
        <v>1.52494</v>
      </c>
      <c r="D400" s="31" t="n">
        <v>0.00354</v>
      </c>
    </row>
    <row r="401">
      <c r="A401" s="30">
        <f>10000/B401</f>
        <v/>
      </c>
      <c r="B401" s="31" t="n">
        <v>2.5976</v>
      </c>
      <c r="C401" s="30" t="n">
        <v>1.52561</v>
      </c>
      <c r="D401" s="31" t="n">
        <v>0.00339</v>
      </c>
    </row>
    <row r="402">
      <c r="A402" s="30">
        <f>10000/B402</f>
        <v/>
      </c>
      <c r="B402" s="31" t="n">
        <v>2.5873</v>
      </c>
      <c r="C402" s="30" t="n">
        <v>1.52591</v>
      </c>
      <c r="D402" s="31" t="n">
        <v>0.00275</v>
      </c>
    </row>
    <row r="403">
      <c r="A403" s="30">
        <f>10000/B403</f>
        <v/>
      </c>
      <c r="B403" s="31" t="n">
        <v>2.577</v>
      </c>
      <c r="C403" s="30" t="n">
        <v>1.52649</v>
      </c>
      <c r="D403" s="31" t="n">
        <v>0.0024</v>
      </c>
    </row>
    <row r="404">
      <c r="A404" s="30">
        <f>10000/B404</f>
        <v/>
      </c>
      <c r="B404" s="31" t="n">
        <v>2.5668</v>
      </c>
      <c r="C404" s="30" t="n">
        <v>1.52693</v>
      </c>
      <c r="D404" s="31" t="n">
        <v>0.00271</v>
      </c>
    </row>
    <row r="405">
      <c r="A405" s="30">
        <f>10000/B405</f>
        <v/>
      </c>
      <c r="B405" s="31" t="n">
        <v>2.5567</v>
      </c>
      <c r="C405" s="30" t="n">
        <v>1.5261</v>
      </c>
      <c r="D405" s="31" t="n">
        <v>0.00258</v>
      </c>
    </row>
    <row r="406">
      <c r="A406" s="30">
        <f>10000/B406</f>
        <v/>
      </c>
      <c r="B406" s="31" t="n">
        <v>2.5466</v>
      </c>
      <c r="C406" s="30" t="n">
        <v>1.5251</v>
      </c>
      <c r="D406" s="31" t="n">
        <v>0.00205</v>
      </c>
    </row>
    <row r="407">
      <c r="A407" s="30">
        <f>10000/B407</f>
        <v/>
      </c>
      <c r="B407" s="31" t="n">
        <v>2.5366</v>
      </c>
      <c r="C407" s="30" t="n">
        <v>1.52486</v>
      </c>
      <c r="D407" s="31" t="n">
        <v>0.0023</v>
      </c>
    </row>
    <row r="408">
      <c r="A408" s="30">
        <f>10000/B408</f>
        <v/>
      </c>
      <c r="B408" s="31" t="n">
        <v>2.5268</v>
      </c>
      <c r="C408" s="30" t="n">
        <v>1.52573</v>
      </c>
      <c r="D408" s="31" t="n">
        <v>0.00234</v>
      </c>
    </row>
    <row r="409">
      <c r="A409" s="30">
        <f>10000/B409</f>
        <v/>
      </c>
      <c r="B409" s="31" t="n">
        <v>2.5169</v>
      </c>
      <c r="C409" s="30" t="n">
        <v>1.52674</v>
      </c>
      <c r="D409" s="31" t="n">
        <v>0.00242</v>
      </c>
    </row>
    <row r="410">
      <c r="A410" s="30">
        <f>10000/B410</f>
        <v/>
      </c>
      <c r="B410" s="31" t="n">
        <v>2.5072</v>
      </c>
      <c r="C410" s="30" t="n">
        <v>1.52719</v>
      </c>
      <c r="D410" s="31" t="n">
        <v>0.00339</v>
      </c>
    </row>
    <row r="411">
      <c r="A411" s="30">
        <f>10000/B411</f>
        <v/>
      </c>
      <c r="B411" s="31" t="n">
        <v>2.4975</v>
      </c>
      <c r="C411" s="30" t="n">
        <v>1.52702</v>
      </c>
      <c r="D411" s="31" t="n">
        <v>0.00396</v>
      </c>
    </row>
    <row r="412">
      <c r="A412" s="30">
        <f>10000/B412</f>
        <v/>
      </c>
      <c r="B412" s="31" t="n">
        <v>2.488</v>
      </c>
      <c r="C412" s="30" t="n">
        <v>1.52682</v>
      </c>
      <c r="D412" s="31" t="n">
        <v>0.00342</v>
      </c>
    </row>
    <row r="413">
      <c r="A413" s="30">
        <f>10000/B413</f>
        <v/>
      </c>
      <c r="B413" s="31" t="n">
        <v>2.4784</v>
      </c>
      <c r="C413" s="30" t="n">
        <v>1.52627</v>
      </c>
      <c r="D413" s="31" t="n">
        <v>0.00249</v>
      </c>
    </row>
    <row r="414">
      <c r="A414" s="30">
        <f>10000/B414</f>
        <v/>
      </c>
      <c r="B414" s="31" t="n">
        <v>2.469</v>
      </c>
      <c r="C414" s="30" t="n">
        <v>1.52599</v>
      </c>
      <c r="D414" s="31" t="n">
        <v>0.00201</v>
      </c>
    </row>
    <row r="415">
      <c r="A415" s="30">
        <f>10000/B415</f>
        <v/>
      </c>
      <c r="B415" s="31" t="n">
        <v>2.4596</v>
      </c>
      <c r="C415" s="30" t="n">
        <v>1.52546</v>
      </c>
      <c r="D415" s="31" t="n">
        <v>0.0022</v>
      </c>
    </row>
    <row r="416">
      <c r="A416" s="30">
        <f>10000/B416</f>
        <v/>
      </c>
      <c r="B416" s="31" t="n">
        <v>2.4457</v>
      </c>
      <c r="C416" s="30" t="n">
        <v>1.52452</v>
      </c>
      <c r="D416" s="31" t="n">
        <v>0.00182</v>
      </c>
    </row>
    <row r="417">
      <c r="A417" s="30">
        <f>10000/B417</f>
        <v/>
      </c>
      <c r="B417" s="31" t="n">
        <v>2.4365</v>
      </c>
      <c r="C417" s="30" t="n">
        <v>1.52471</v>
      </c>
      <c r="D417" s="31" t="n">
        <v>0.00168</v>
      </c>
    </row>
    <row r="418">
      <c r="A418" s="30">
        <f>10000/B418</f>
        <v/>
      </c>
      <c r="B418" s="31" t="n">
        <v>2.4274</v>
      </c>
      <c r="C418" s="30" t="n">
        <v>1.52578</v>
      </c>
      <c r="D418" s="31" t="n">
        <v>0.00175</v>
      </c>
    </row>
    <row r="419">
      <c r="A419" s="30">
        <f>10000/B419</f>
        <v/>
      </c>
      <c r="B419" s="31" t="n">
        <v>2.4183</v>
      </c>
      <c r="C419" s="30" t="n">
        <v>1.52635</v>
      </c>
      <c r="D419" s="31" t="n">
        <v>0.00186</v>
      </c>
    </row>
    <row r="420">
      <c r="A420" s="30">
        <f>10000/B420</f>
        <v/>
      </c>
      <c r="B420" s="31" t="n">
        <v>2.4093</v>
      </c>
      <c r="C420" s="30" t="n">
        <v>1.52602</v>
      </c>
      <c r="D420" s="31" t="n">
        <v>0.00222</v>
      </c>
    </row>
    <row r="421">
      <c r="A421" s="30">
        <f>10000/B421</f>
        <v/>
      </c>
      <c r="B421" s="31" t="n">
        <v>2.396</v>
      </c>
      <c r="C421" s="30" t="n">
        <v>1.52643</v>
      </c>
      <c r="D421" s="31" t="n">
        <v>0.00301</v>
      </c>
    </row>
    <row r="422">
      <c r="A422" s="30">
        <f>10000/B422</f>
        <v/>
      </c>
      <c r="B422" s="31" t="n">
        <v>2.3872</v>
      </c>
      <c r="C422" s="30" t="n">
        <v>1.52689</v>
      </c>
      <c r="D422" s="31" t="n">
        <v>0.00293</v>
      </c>
    </row>
    <row r="423">
      <c r="A423" s="30">
        <f>10000/B423</f>
        <v/>
      </c>
      <c r="B423" s="31" t="n">
        <v>2.3784</v>
      </c>
      <c r="C423" s="30" t="n">
        <v>1.52617</v>
      </c>
      <c r="D423" s="31" t="n">
        <v>0.00234</v>
      </c>
    </row>
    <row r="424">
      <c r="A424" s="30">
        <f>10000/B424</f>
        <v/>
      </c>
      <c r="B424" s="31" t="n">
        <v>2.3697</v>
      </c>
      <c r="C424" s="30" t="n">
        <v>1.52517</v>
      </c>
      <c r="D424" s="31" t="n">
        <v>0.00255</v>
      </c>
    </row>
    <row r="425">
      <c r="A425" s="30">
        <f>10000/B425</f>
        <v/>
      </c>
      <c r="B425" s="31" t="n">
        <v>2.3568</v>
      </c>
      <c r="C425" s="30" t="n">
        <v>1.52485</v>
      </c>
      <c r="D425" s="31" t="n">
        <v>0.00362</v>
      </c>
    </row>
    <row r="426">
      <c r="A426" s="30">
        <f>10000/B426</f>
        <v/>
      </c>
      <c r="B426" s="31" t="n">
        <v>2.3482</v>
      </c>
      <c r="C426" s="30" t="n">
        <v>1.52526</v>
      </c>
      <c r="D426" s="31" t="n">
        <v>0.00374</v>
      </c>
    </row>
    <row r="427">
      <c r="A427" s="30">
        <f>10000/B427</f>
        <v/>
      </c>
      <c r="B427" s="31" t="n">
        <v>2.3398</v>
      </c>
      <c r="C427" s="30" t="n">
        <v>1.52531</v>
      </c>
      <c r="D427" s="31" t="n">
        <v>0.00391</v>
      </c>
    </row>
    <row r="428">
      <c r="A428" s="30">
        <f>10000/B428</f>
        <v/>
      </c>
      <c r="B428" s="31" t="n">
        <v>2.3272</v>
      </c>
      <c r="C428" s="30" t="n">
        <v>1.52499</v>
      </c>
      <c r="D428" s="31" t="n">
        <v>0.0032</v>
      </c>
    </row>
    <row r="429">
      <c r="A429" s="30">
        <f>10000/B429</f>
        <v/>
      </c>
      <c r="B429" s="31" t="n">
        <v>2.3188</v>
      </c>
      <c r="C429" s="30" t="n">
        <v>1.52594</v>
      </c>
      <c r="D429" s="31" t="n">
        <v>0.00213</v>
      </c>
    </row>
    <row r="430">
      <c r="A430" s="30">
        <f>10000/B430</f>
        <v/>
      </c>
      <c r="B430" s="31" t="n">
        <v>2.3065</v>
      </c>
      <c r="C430" s="30" t="n">
        <v>1.5263</v>
      </c>
      <c r="D430" s="31" t="n">
        <v>0.00159</v>
      </c>
    </row>
    <row r="431">
      <c r="A431" s="30">
        <f>10000/B431</f>
        <v/>
      </c>
      <c r="B431" s="31" t="n">
        <v>2.2983</v>
      </c>
      <c r="C431" s="30" t="n">
        <v>1.52525</v>
      </c>
      <c r="D431" s="31" t="n">
        <v>0.002</v>
      </c>
    </row>
    <row r="432">
      <c r="A432" s="30">
        <f>10000/B432</f>
        <v/>
      </c>
      <c r="B432" s="31" t="n">
        <v>2.2861</v>
      </c>
      <c r="C432" s="30" t="n">
        <v>1.52438</v>
      </c>
      <c r="D432" s="31" t="n">
        <v>0.00268</v>
      </c>
    </row>
    <row r="433">
      <c r="A433" s="30">
        <f>10000/B433</f>
        <v/>
      </c>
      <c r="B433" s="31" t="n">
        <v>2.2781</v>
      </c>
      <c r="C433" s="30" t="n">
        <v>1.52484</v>
      </c>
      <c r="D433" s="31" t="n">
        <v>0.00225</v>
      </c>
    </row>
    <row r="434">
      <c r="A434" s="30">
        <f>10000/B434</f>
        <v/>
      </c>
      <c r="B434" s="31" t="n">
        <v>2.2661</v>
      </c>
      <c r="C434" s="30" t="n">
        <v>1.5247</v>
      </c>
      <c r="D434" s="31" t="n">
        <v>0.00121</v>
      </c>
    </row>
    <row r="435">
      <c r="A435" s="30">
        <f>10000/B435</f>
        <v/>
      </c>
      <c r="B435" s="31" t="n">
        <v>2.2582</v>
      </c>
      <c r="C435" s="30" t="n">
        <v>1.5244</v>
      </c>
      <c r="D435" s="31" t="n">
        <v>0.000144</v>
      </c>
    </row>
    <row r="436">
      <c r="A436" s="30">
        <f>10000/B436</f>
        <v/>
      </c>
      <c r="B436" s="31" t="n">
        <v>2.2465</v>
      </c>
      <c r="C436" s="30" t="n">
        <v>1.52461</v>
      </c>
      <c r="D436" s="31" t="n">
        <v>0.000109</v>
      </c>
    </row>
    <row r="437">
      <c r="A437" s="30">
        <f>10000/B437</f>
        <v/>
      </c>
      <c r="B437" s="31" t="n">
        <v>2.2387</v>
      </c>
      <c r="C437" s="30" t="n">
        <v>1.52525</v>
      </c>
      <c r="D437" s="31" t="n">
        <v>8.949999999999999e-05</v>
      </c>
    </row>
    <row r="438">
      <c r="A438" s="30">
        <f>10000/B438</f>
        <v/>
      </c>
      <c r="B438" s="31" t="n">
        <v>2.2272</v>
      </c>
      <c r="C438" s="30" t="n">
        <v>1.52565</v>
      </c>
      <c r="D438" s="31" t="n">
        <v>6.999999999999999e-05</v>
      </c>
    </row>
    <row r="439">
      <c r="A439" s="30">
        <f>10000/B439</f>
        <v/>
      </c>
      <c r="B439" s="31" t="n">
        <v>2.2196</v>
      </c>
      <c r="C439" s="30" t="n">
        <v>1.52563</v>
      </c>
      <c r="D439" s="31" t="n">
        <v>6.160000000000001e-05</v>
      </c>
    </row>
    <row r="440">
      <c r="A440" s="30">
        <f>10000/B440</f>
        <v/>
      </c>
      <c r="B440" s="31" t="n">
        <v>2.2082</v>
      </c>
      <c r="C440" s="30" t="n">
        <v>1.52622</v>
      </c>
      <c r="D440" s="31" t="n">
        <v>5.31e-05</v>
      </c>
    </row>
    <row r="441">
      <c r="A441" s="30">
        <f>10000/B441</f>
        <v/>
      </c>
      <c r="B441" s="31" t="n">
        <v>2.197</v>
      </c>
      <c r="C441" s="30" t="n">
        <v>1.52606</v>
      </c>
      <c r="D441" s="31" t="n">
        <v>4.8e-05</v>
      </c>
    </row>
    <row r="442">
      <c r="A442" s="30">
        <f>10000/B442</f>
        <v/>
      </c>
      <c r="B442" s="31" t="n">
        <v>2.1896</v>
      </c>
      <c r="C442" s="30" t="n">
        <v>1.52568</v>
      </c>
      <c r="D442" s="31" t="n">
        <v>4.61e-05</v>
      </c>
    </row>
    <row r="443">
      <c r="A443" s="30">
        <f>10000/B443</f>
        <v/>
      </c>
      <c r="B443" s="31" t="n">
        <v>2.1785</v>
      </c>
      <c r="C443" s="30" t="n">
        <v>1.52529</v>
      </c>
      <c r="D443" s="31" t="n">
        <v>4.49e-05</v>
      </c>
    </row>
    <row r="444">
      <c r="A444" s="30">
        <f>10000/B444</f>
        <v/>
      </c>
      <c r="B444" s="31" t="n">
        <v>2.1676</v>
      </c>
      <c r="C444" s="30" t="n">
        <v>1.52584</v>
      </c>
      <c r="D444" s="31" t="n">
        <v>4.51e-05</v>
      </c>
    </row>
    <row r="445">
      <c r="A445" s="30">
        <f>10000/B445</f>
        <v/>
      </c>
      <c r="B445" s="31" t="n">
        <v>2.1568</v>
      </c>
      <c r="C445" s="30" t="n">
        <v>1.52611</v>
      </c>
      <c r="D445" s="31" t="n">
        <v>4.58e-05</v>
      </c>
    </row>
    <row r="446">
      <c r="A446" s="30">
        <f>10000/B446</f>
        <v/>
      </c>
      <c r="B446" s="31" t="n">
        <v>2.1496</v>
      </c>
      <c r="C446" s="30" t="n">
        <v>1.52528</v>
      </c>
      <c r="D446" s="31" t="n">
        <v>4.62e-05</v>
      </c>
    </row>
    <row r="447">
      <c r="A447" s="30">
        <f>10000/B447</f>
        <v/>
      </c>
      <c r="B447" s="31" t="n">
        <v>2.139</v>
      </c>
      <c r="C447" s="30" t="n">
        <v>1.5239</v>
      </c>
      <c r="D447" s="31" t="n">
        <v>4.56e-05</v>
      </c>
    </row>
    <row r="448">
      <c r="A448" s="30">
        <f>10000/B448</f>
        <v/>
      </c>
      <c r="B448" s="31" t="n">
        <v>2.1285</v>
      </c>
      <c r="C448" s="30" t="n">
        <v>1.52517</v>
      </c>
      <c r="D448" s="31" t="n">
        <v>4.32e-05</v>
      </c>
    </row>
    <row r="449">
      <c r="A449" s="30">
        <f>10000/B449</f>
        <v/>
      </c>
      <c r="B449" s="31" t="n">
        <v>2.118</v>
      </c>
      <c r="C449" s="30" t="n">
        <v>1.52618</v>
      </c>
      <c r="D449" s="31" t="n">
        <v>4.1e-05</v>
      </c>
    </row>
    <row r="450">
      <c r="A450" s="30">
        <f>10000/B450</f>
        <v/>
      </c>
      <c r="B450" s="31" t="n">
        <v>2.1077</v>
      </c>
      <c r="C450" s="30" t="n">
        <v>1.52548</v>
      </c>
      <c r="D450" s="31" t="n">
        <v>3.96e-05</v>
      </c>
    </row>
    <row r="451">
      <c r="A451" s="30">
        <f>10000/B451</f>
        <v/>
      </c>
      <c r="B451" s="31" t="n">
        <v>2.0975</v>
      </c>
      <c r="C451" s="30" t="n">
        <v>1.52474</v>
      </c>
      <c r="D451" s="31" t="n">
        <v>3.87e-05</v>
      </c>
    </row>
    <row r="452">
      <c r="A452" s="30">
        <f>10000/B452</f>
        <v/>
      </c>
      <c r="B452" s="31" t="n">
        <v>2.0873</v>
      </c>
      <c r="C452" s="30" t="n">
        <v>1.52268</v>
      </c>
      <c r="D452" s="31" t="n">
        <v>3.86e-05</v>
      </c>
    </row>
    <row r="453">
      <c r="A453" s="30">
        <f>10000/B453</f>
        <v/>
      </c>
      <c r="B453" s="31" t="n">
        <v>2.0773</v>
      </c>
      <c r="C453" s="30" t="n">
        <v>1.52145</v>
      </c>
      <c r="D453" s="31" t="n">
        <v>3.9e-05</v>
      </c>
    </row>
    <row r="454">
      <c r="A454" s="30">
        <f>10000/B454</f>
        <v/>
      </c>
      <c r="B454" s="31" t="n">
        <v>2.0673</v>
      </c>
      <c r="C454" s="30" t="n">
        <v>1.52115</v>
      </c>
      <c r="D454" s="31" t="n">
        <v>3.96e-05</v>
      </c>
    </row>
    <row r="455">
      <c r="A455" s="30">
        <f>10000/B455</f>
        <v/>
      </c>
      <c r="B455" s="31" t="n">
        <v>2.0575</v>
      </c>
      <c r="C455" s="30" t="n">
        <v>1.52058</v>
      </c>
      <c r="D455" s="31" t="n">
        <v>3.99e-05</v>
      </c>
    </row>
    <row r="456">
      <c r="A456" s="30">
        <f>10000/B456</f>
        <v/>
      </c>
      <c r="B456" s="31" t="n">
        <v>2.0478</v>
      </c>
      <c r="C456" s="30" t="n">
        <v>1.52121</v>
      </c>
      <c r="D456" s="31" t="n">
        <v>3.96e-05</v>
      </c>
    </row>
    <row r="457">
      <c r="A457" s="30">
        <f>10000/B457</f>
        <v/>
      </c>
      <c r="B457" s="31" t="n">
        <v>2.0381</v>
      </c>
      <c r="C457" s="30" t="n">
        <v>1.52308</v>
      </c>
      <c r="D457" s="31" t="n">
        <v>3.93e-05</v>
      </c>
    </row>
    <row r="458">
      <c r="A458" s="30">
        <f>10000/B458</f>
        <v/>
      </c>
      <c r="B458" s="31" t="n">
        <v>2.0285</v>
      </c>
      <c r="C458" s="30" t="n">
        <v>1.52426</v>
      </c>
      <c r="D458" s="31" t="n">
        <v>3.9e-05</v>
      </c>
    </row>
    <row r="459">
      <c r="A459" s="30">
        <f>10000/B459</f>
        <v/>
      </c>
      <c r="B459" s="31" t="n">
        <v>2.019</v>
      </c>
      <c r="C459" s="30" t="n">
        <v>1.52418</v>
      </c>
      <c r="D459" s="31" t="n">
        <v>2.86e-05</v>
      </c>
    </row>
    <row r="460">
      <c r="A460" s="30">
        <f>10000/B460</f>
        <v/>
      </c>
      <c r="B460" s="31" t="n">
        <v>2.0097</v>
      </c>
      <c r="C460" s="30" t="n">
        <v>1.52336</v>
      </c>
      <c r="D460" s="31" t="n">
        <v>1.84e-05</v>
      </c>
    </row>
    <row r="461">
      <c r="A461" s="30">
        <f>10000/B461</f>
        <v/>
      </c>
      <c r="B461" s="31" t="n">
        <v>2</v>
      </c>
      <c r="C461" s="30" t="n">
        <v>1.52604</v>
      </c>
      <c r="D461" s="31" t="n">
        <v>1.72e-05</v>
      </c>
    </row>
    <row r="462">
      <c r="A462" s="30">
        <f>10000/B462</f>
        <v/>
      </c>
      <c r="B462" s="31" t="n">
        <v>1.99</v>
      </c>
      <c r="C462" s="30" t="n">
        <v>1.52599</v>
      </c>
      <c r="D462" s="31" t="n">
        <v>1.71e-05</v>
      </c>
    </row>
    <row r="463">
      <c r="A463" s="30">
        <f>10000/B463</f>
        <v/>
      </c>
      <c r="B463" s="31" t="n">
        <v>1.98</v>
      </c>
      <c r="C463" s="30" t="n">
        <v>1.52828</v>
      </c>
      <c r="D463" s="31" t="n">
        <v>1.77e-05</v>
      </c>
    </row>
    <row r="464">
      <c r="A464" s="30">
        <f>10000/B464</f>
        <v/>
      </c>
      <c r="B464" s="31" t="n">
        <v>1.97</v>
      </c>
      <c r="C464" s="30" t="n">
        <v>1.52855</v>
      </c>
      <c r="D464" s="31" t="n">
        <v>1.83e-05</v>
      </c>
    </row>
    <row r="465">
      <c r="A465" s="30">
        <f>10000/B465</f>
        <v/>
      </c>
      <c r="B465" s="31" t="n">
        <v>1.96</v>
      </c>
      <c r="C465" s="30" t="n">
        <v>1.52698</v>
      </c>
      <c r="D465" s="31" t="n">
        <v>1.89e-05</v>
      </c>
    </row>
    <row r="466">
      <c r="A466" s="30">
        <f>10000/B466</f>
        <v/>
      </c>
      <c r="B466" s="31" t="n">
        <v>1.95</v>
      </c>
      <c r="C466" s="30" t="n">
        <v>1.52716</v>
      </c>
      <c r="D466" s="31" t="n">
        <v>1.97e-05</v>
      </c>
    </row>
    <row r="467">
      <c r="A467" s="30">
        <f>10000/B467</f>
        <v/>
      </c>
      <c r="B467" s="31" t="n">
        <v>1.94</v>
      </c>
      <c r="C467" s="30" t="n">
        <v>1.52659</v>
      </c>
      <c r="D467" s="31" t="n">
        <v>2e-05</v>
      </c>
    </row>
    <row r="468">
      <c r="A468" s="30">
        <f>10000/B468</f>
        <v/>
      </c>
      <c r="B468" s="31" t="n">
        <v>1.93</v>
      </c>
      <c r="C468" s="30" t="n">
        <v>1.52594</v>
      </c>
      <c r="D468" s="31" t="n">
        <v>1.99e-05</v>
      </c>
    </row>
    <row r="469">
      <c r="A469" s="30">
        <f>10000/B469</f>
        <v/>
      </c>
      <c r="B469" s="31" t="n">
        <v>1.92</v>
      </c>
      <c r="C469" s="30" t="n">
        <v>1.52441</v>
      </c>
      <c r="D469" s="31" t="n">
        <v>1.98e-05</v>
      </c>
    </row>
    <row r="470">
      <c r="A470" s="30">
        <f>10000/B470</f>
        <v/>
      </c>
      <c r="B470" s="31" t="n">
        <v>1.91</v>
      </c>
      <c r="C470" s="30" t="n">
        <v>1.52623</v>
      </c>
      <c r="D470" s="31" t="n">
        <v>2.19e-05</v>
      </c>
    </row>
    <row r="471">
      <c r="A471" s="30">
        <f>10000/B471</f>
        <v/>
      </c>
      <c r="B471" s="31" t="n">
        <v>1.9</v>
      </c>
      <c r="C471" s="30" t="n">
        <v>1.52628</v>
      </c>
      <c r="D471" s="31" t="n">
        <v>2.46e-05</v>
      </c>
    </row>
    <row r="472">
      <c r="A472" s="30">
        <f>10000/B472</f>
        <v/>
      </c>
      <c r="B472" s="31" t="n">
        <v>1.89</v>
      </c>
      <c r="C472" s="30" t="n">
        <v>1.52658</v>
      </c>
      <c r="D472" s="31" t="n">
        <v>2.07e-05</v>
      </c>
    </row>
    <row r="473">
      <c r="A473" s="30">
        <f>10000/B473</f>
        <v/>
      </c>
      <c r="B473" s="31" t="n">
        <v>1.88</v>
      </c>
      <c r="C473" s="30" t="n">
        <v>1.52753</v>
      </c>
      <c r="D473" s="31" t="n">
        <v>2.18e-05</v>
      </c>
    </row>
    <row r="474">
      <c r="A474" s="30">
        <f>10000/B474</f>
        <v/>
      </c>
      <c r="B474" s="31" t="n">
        <v>1.87</v>
      </c>
      <c r="C474" s="30" t="n">
        <v>1.528</v>
      </c>
      <c r="D474" s="31" t="n">
        <v>2.38e-05</v>
      </c>
    </row>
    <row r="475">
      <c r="A475" s="30">
        <f>10000/B475</f>
        <v/>
      </c>
      <c r="B475" s="31" t="n">
        <v>1.86</v>
      </c>
      <c r="C475" s="30" t="n">
        <v>1.52662</v>
      </c>
      <c r="D475" s="31" t="n">
        <v>2.71e-05</v>
      </c>
    </row>
    <row r="476">
      <c r="A476" s="30">
        <f>10000/B476</f>
        <v/>
      </c>
      <c r="B476" s="31" t="n">
        <v>1.85</v>
      </c>
      <c r="C476" s="30" t="n">
        <v>1.52739</v>
      </c>
      <c r="D476" s="31" t="n">
        <v>2.82e-05</v>
      </c>
    </row>
    <row r="477">
      <c r="A477" s="30">
        <f>10000/B477</f>
        <v/>
      </c>
      <c r="B477" s="31" t="n">
        <v>1.84</v>
      </c>
      <c r="C477" s="30" t="n">
        <v>1.5252</v>
      </c>
      <c r="D477" s="31" t="n">
        <v>2.94e-05</v>
      </c>
    </row>
    <row r="478">
      <c r="A478" s="30">
        <f>10000/B478</f>
        <v/>
      </c>
      <c r="B478" s="31" t="n">
        <v>1.83</v>
      </c>
      <c r="C478" s="30" t="n">
        <v>1.52657</v>
      </c>
      <c r="D478" s="31" t="n">
        <v>3.21e-05</v>
      </c>
    </row>
    <row r="479">
      <c r="A479" s="30">
        <f>10000/B479</f>
        <v/>
      </c>
      <c r="B479" s="31" t="n">
        <v>1.82</v>
      </c>
      <c r="C479" s="30" t="n">
        <v>1.5277</v>
      </c>
      <c r="D479" s="31" t="n">
        <v>3.04e-05</v>
      </c>
    </row>
    <row r="480">
      <c r="A480" s="30">
        <f>10000/B480</f>
        <v/>
      </c>
      <c r="B480" s="31" t="n">
        <v>1.81</v>
      </c>
      <c r="C480" s="30" t="n">
        <v>1.52642</v>
      </c>
      <c r="D480" s="31" t="n">
        <v>3.02e-05</v>
      </c>
    </row>
    <row r="481">
      <c r="A481" s="30">
        <f>10000/B481</f>
        <v/>
      </c>
      <c r="B481" s="31" t="n">
        <v>1.8</v>
      </c>
      <c r="C481" s="30" t="n">
        <v>1.52719</v>
      </c>
      <c r="D481" s="31" t="n">
        <v>3.24e-05</v>
      </c>
    </row>
    <row r="482">
      <c r="A482" s="30">
        <f>10000/B482</f>
        <v/>
      </c>
      <c r="B482" s="31" t="n">
        <v>1.79</v>
      </c>
      <c r="C482" s="30" t="n">
        <v>1.52766</v>
      </c>
      <c r="D482" s="31" t="n">
        <v>3.88e-05</v>
      </c>
    </row>
    <row r="483">
      <c r="A483" s="30">
        <f>10000/B483</f>
        <v/>
      </c>
      <c r="B483" s="31" t="n">
        <v>1.78</v>
      </c>
      <c r="C483" s="30" t="n">
        <v>1.52617</v>
      </c>
      <c r="D483" s="31" t="n">
        <v>4.47e-05</v>
      </c>
    </row>
    <row r="484">
      <c r="A484" s="30">
        <f>10000/B484</f>
        <v/>
      </c>
      <c r="B484" s="31" t="n">
        <v>1.77</v>
      </c>
      <c r="C484" s="30" t="n">
        <v>1.52499</v>
      </c>
      <c r="D484" s="31" t="n">
        <v>4.85e-05</v>
      </c>
    </row>
    <row r="485">
      <c r="A485" s="30">
        <f>10000/B485</f>
        <v/>
      </c>
      <c r="B485" s="31" t="n">
        <v>1.76</v>
      </c>
      <c r="C485" s="30" t="n">
        <v>1.52591</v>
      </c>
      <c r="D485" s="31" t="n">
        <v>5.63e-05</v>
      </c>
    </row>
    <row r="486">
      <c r="A486" s="30">
        <f>10000/B486</f>
        <v/>
      </c>
      <c r="B486" s="31" t="n">
        <v>1.75</v>
      </c>
      <c r="C486" s="30" t="n">
        <v>1.52744</v>
      </c>
      <c r="D486" s="31" t="n">
        <v>7.02e-05</v>
      </c>
    </row>
    <row r="487">
      <c r="A487" s="30">
        <f>10000/B487</f>
        <v/>
      </c>
      <c r="B487" s="31" t="n">
        <v>1.74</v>
      </c>
      <c r="C487" s="30" t="n">
        <v>1.52651</v>
      </c>
      <c r="D487" s="31" t="n">
        <v>6.8e-05</v>
      </c>
    </row>
    <row r="488">
      <c r="A488" s="30">
        <f>10000/B488</f>
        <v/>
      </c>
      <c r="B488" s="31" t="n">
        <v>1.73</v>
      </c>
      <c r="C488" s="30" t="n">
        <v>1.52769</v>
      </c>
      <c r="D488" s="31" t="n">
        <v>6.58e-05</v>
      </c>
    </row>
    <row r="489">
      <c r="A489" s="30">
        <f>10000/B489</f>
        <v/>
      </c>
      <c r="B489" s="31" t="n">
        <v>1.72</v>
      </c>
      <c r="C489" s="30" t="n">
        <v>1.52844</v>
      </c>
      <c r="D489" s="31" t="n">
        <v>0.000116</v>
      </c>
    </row>
    <row r="490">
      <c r="A490" s="30">
        <f>10000/B490</f>
        <v/>
      </c>
      <c r="B490" s="31" t="n">
        <v>1.71</v>
      </c>
      <c r="C490" s="30" t="n">
        <v>1.5266</v>
      </c>
      <c r="D490" s="31" t="n">
        <v>0.000107</v>
      </c>
    </row>
    <row r="491">
      <c r="A491" s="30">
        <f>10000/B491</f>
        <v/>
      </c>
      <c r="B491" s="31" t="n">
        <v>1.7</v>
      </c>
      <c r="C491" s="30" t="n">
        <v>1.52666</v>
      </c>
      <c r="D491" s="31" t="n">
        <v>5.29e-05</v>
      </c>
    </row>
    <row r="492">
      <c r="A492" s="30">
        <f>10000/B492</f>
        <v/>
      </c>
      <c r="B492" s="31" t="n">
        <v>1.69</v>
      </c>
      <c r="C492" s="30" t="n">
        <v>1.52714</v>
      </c>
      <c r="D492" s="31" t="n">
        <v>2e-05</v>
      </c>
    </row>
    <row r="493">
      <c r="A493" s="30">
        <f>10000/B493</f>
        <v/>
      </c>
      <c r="B493" s="31" t="n">
        <v>1.68</v>
      </c>
      <c r="C493" s="30" t="n">
        <v>1.52498</v>
      </c>
      <c r="D493" s="31" t="n">
        <v>9.269999999999999e-06</v>
      </c>
    </row>
    <row r="494">
      <c r="A494" s="30">
        <f>10000/B494</f>
        <v/>
      </c>
      <c r="B494" s="31" t="n">
        <v>1.67</v>
      </c>
      <c r="C494" s="30" t="n">
        <v>1.52602</v>
      </c>
      <c r="D494" s="31" t="n">
        <v>6.43e-06</v>
      </c>
    </row>
    <row r="495">
      <c r="A495" s="30">
        <f>10000/B495</f>
        <v/>
      </c>
      <c r="B495" s="31" t="n">
        <v>1.66</v>
      </c>
      <c r="C495" s="30" t="n">
        <v>1.52566</v>
      </c>
      <c r="D495" s="31" t="n">
        <v>4.75e-06</v>
      </c>
    </row>
    <row r="496">
      <c r="A496" s="30">
        <f>10000/B496</f>
        <v/>
      </c>
      <c r="B496" s="31" t="n">
        <v>1.65</v>
      </c>
      <c r="C496" s="30" t="n">
        <v>1.52679</v>
      </c>
      <c r="D496" s="31" t="n">
        <v>3.12e-06</v>
      </c>
    </row>
    <row r="497">
      <c r="A497" s="30">
        <f>10000/B497</f>
        <v/>
      </c>
      <c r="B497" s="31" t="n">
        <v>1.64</v>
      </c>
      <c r="C497" s="30" t="n">
        <v>1.52614</v>
      </c>
      <c r="D497" s="31" t="n">
        <v>2.66e-06</v>
      </c>
    </row>
    <row r="498">
      <c r="A498" s="30">
        <f>10000/B498</f>
        <v/>
      </c>
      <c r="B498" s="31" t="n">
        <v>1.63</v>
      </c>
      <c r="C498" s="30" t="n">
        <v>1.52553</v>
      </c>
      <c r="D498" s="31" t="n">
        <v>2.52e-06</v>
      </c>
    </row>
    <row r="499">
      <c r="A499" s="30">
        <f>10000/B499</f>
        <v/>
      </c>
      <c r="B499" s="31" t="n">
        <v>1.62</v>
      </c>
      <c r="C499" s="30" t="n">
        <v>1.52614</v>
      </c>
      <c r="D499" s="31" t="n">
        <v>2.31e-06</v>
      </c>
    </row>
    <row r="500">
      <c r="A500" s="30">
        <f>10000/B500</f>
        <v/>
      </c>
      <c r="B500" s="31" t="n">
        <v>1.61</v>
      </c>
      <c r="C500" s="30" t="n">
        <v>1.52582</v>
      </c>
      <c r="D500" s="31" t="n">
        <v>2.11e-06</v>
      </c>
    </row>
    <row r="501">
      <c r="A501" s="30">
        <f>10000/B501</f>
        <v/>
      </c>
      <c r="B501" s="31" t="n">
        <v>1.6</v>
      </c>
      <c r="C501" s="30" t="n">
        <v>1.52653</v>
      </c>
      <c r="D501" s="31" t="n">
        <v>1.98e-06</v>
      </c>
    </row>
    <row r="502">
      <c r="A502" s="30">
        <f>10000/B502</f>
        <v/>
      </c>
      <c r="B502" s="31" t="n">
        <v>1.59</v>
      </c>
      <c r="C502" s="30" t="n">
        <v>1.52523</v>
      </c>
      <c r="D502" s="31" t="n">
        <v>1.92e-06</v>
      </c>
    </row>
    <row r="503">
      <c r="A503" s="30">
        <f>10000/B503</f>
        <v/>
      </c>
      <c r="B503" s="31" t="n">
        <v>1.58</v>
      </c>
      <c r="C503" s="30" t="n">
        <v>1.52656</v>
      </c>
      <c r="D503" s="31" t="n">
        <v>1.85e-06</v>
      </c>
    </row>
    <row r="504">
      <c r="A504" s="30">
        <f>10000/B504</f>
        <v/>
      </c>
      <c r="B504" s="31" t="n">
        <v>1.57</v>
      </c>
      <c r="C504" s="30" t="n">
        <v>1.52624</v>
      </c>
      <c r="D504" s="31" t="n">
        <v>1.81e-06</v>
      </c>
    </row>
    <row r="505">
      <c r="A505" s="30">
        <f>10000/B505</f>
        <v/>
      </c>
      <c r="B505" s="31" t="n">
        <v>1.56</v>
      </c>
      <c r="C505" s="30" t="n">
        <v>1.52669</v>
      </c>
      <c r="D505" s="31" t="n">
        <v>1.9e-06</v>
      </c>
    </row>
    <row r="506">
      <c r="A506" s="30">
        <f>10000/B506</f>
        <v/>
      </c>
      <c r="B506" s="31" t="n">
        <v>1.55</v>
      </c>
      <c r="C506" s="30" t="n">
        <v>1.52688</v>
      </c>
      <c r="D506" s="31" t="n">
        <v>2.04e-06</v>
      </c>
    </row>
    <row r="507">
      <c r="A507" s="30">
        <f>10000/B507</f>
        <v/>
      </c>
      <c r="B507" s="31" t="n">
        <v>1.54</v>
      </c>
      <c r="C507" s="30" t="n">
        <v>1.52599</v>
      </c>
      <c r="D507" s="31" t="n">
        <v>1.85e-06</v>
      </c>
    </row>
    <row r="508">
      <c r="A508" s="30">
        <f>10000/B508</f>
        <v/>
      </c>
      <c r="B508" s="31" t="n">
        <v>1.53</v>
      </c>
      <c r="C508" s="30" t="n">
        <v>1.52499</v>
      </c>
      <c r="D508" s="31" t="n">
        <v>2.16e-06</v>
      </c>
    </row>
    <row r="509">
      <c r="A509" s="30">
        <f>10000/B509</f>
        <v/>
      </c>
      <c r="B509" s="31" t="n">
        <v>1.52</v>
      </c>
      <c r="C509" s="30" t="n">
        <v>1.52618</v>
      </c>
      <c r="D509" s="31" t="n">
        <v>2.24e-06</v>
      </c>
    </row>
    <row r="510">
      <c r="A510" s="30">
        <f>10000/B510</f>
        <v/>
      </c>
      <c r="B510" s="31" t="n">
        <v>1.51</v>
      </c>
      <c r="C510" s="30" t="n">
        <v>1.52694</v>
      </c>
      <c r="D510" s="31" t="n">
        <v>2.24e-06</v>
      </c>
    </row>
    <row r="511">
      <c r="A511" s="30">
        <f>10000/B511</f>
        <v/>
      </c>
      <c r="B511" s="31" t="n">
        <v>1.5</v>
      </c>
      <c r="C511" s="30" t="n">
        <v>1.52642</v>
      </c>
      <c r="D511" s="31" t="n">
        <v>2.36e-06</v>
      </c>
    </row>
    <row r="512">
      <c r="A512" s="30">
        <f>10000/B512</f>
        <v/>
      </c>
      <c r="B512" s="31" t="n">
        <v>1.49</v>
      </c>
      <c r="C512" s="30" t="n">
        <v>1.5266</v>
      </c>
      <c r="D512" s="31" t="n">
        <v>2.74e-06</v>
      </c>
    </row>
    <row r="513">
      <c r="A513" s="30">
        <f>10000/B513</f>
        <v/>
      </c>
      <c r="B513" s="31" t="n">
        <v>1.48</v>
      </c>
      <c r="C513" s="30" t="n">
        <v>1.52733</v>
      </c>
      <c r="D513" s="31" t="n">
        <v>2.2e-06</v>
      </c>
    </row>
    <row r="514">
      <c r="A514" s="30">
        <f>10000/B514</f>
        <v/>
      </c>
      <c r="B514" s="31" t="n">
        <v>1.47</v>
      </c>
      <c r="C514" s="30" t="n">
        <v>1.52672</v>
      </c>
      <c r="D514" s="31" t="n">
        <v>3.41e-06</v>
      </c>
    </row>
    <row r="515">
      <c r="A515" s="30">
        <f>10000/B515</f>
        <v/>
      </c>
      <c r="B515" s="31" t="n">
        <v>1.46</v>
      </c>
      <c r="C515" s="30" t="n">
        <v>1.52657</v>
      </c>
      <c r="D515" s="31" t="n">
        <v>3.61e-06</v>
      </c>
    </row>
    <row r="516">
      <c r="A516" s="30">
        <f>10000/B516</f>
        <v/>
      </c>
      <c r="B516" s="31" t="n">
        <v>1.45</v>
      </c>
      <c r="C516" s="30" t="n">
        <v>1.52639</v>
      </c>
      <c r="D516" s="31" t="n">
        <v>4.32e-06</v>
      </c>
    </row>
    <row r="517">
      <c r="A517" s="30">
        <f>10000/B517</f>
        <v/>
      </c>
      <c r="B517" s="31" t="n">
        <v>1.44</v>
      </c>
      <c r="C517" s="30" t="n">
        <v>1.52688</v>
      </c>
      <c r="D517" s="31" t="n">
        <v>5.3e-06</v>
      </c>
    </row>
    <row r="518">
      <c r="A518" s="30">
        <f>10000/B518</f>
        <v/>
      </c>
      <c r="B518" s="31" t="n">
        <v>1.43</v>
      </c>
      <c r="C518" s="30" t="n">
        <v>1.52738</v>
      </c>
      <c r="D518" s="31" t="n">
        <v>8.029999999999999e-06</v>
      </c>
    </row>
    <row r="519">
      <c r="A519" s="30">
        <f>10000/B519</f>
        <v/>
      </c>
      <c r="B519" s="31" t="n">
        <v>1.42</v>
      </c>
      <c r="C519" s="30" t="n">
        <v>1.52708</v>
      </c>
      <c r="D519" s="31" t="n">
        <v>8.18e-06</v>
      </c>
    </row>
    <row r="520">
      <c r="A520" s="30">
        <f>10000/B520</f>
        <v/>
      </c>
      <c r="B520" s="31" t="n">
        <v>1.41</v>
      </c>
      <c r="C520" s="30" t="n">
        <v>1.52715</v>
      </c>
      <c r="D520" s="31" t="n">
        <v>7.679999999999999e-06</v>
      </c>
    </row>
    <row r="521">
      <c r="A521" s="30">
        <f>10000/B521</f>
        <v/>
      </c>
      <c r="B521" s="31" t="n">
        <v>1.4</v>
      </c>
      <c r="C521" s="30" t="n">
        <v>1.52748</v>
      </c>
      <c r="D521" s="31" t="n">
        <v>7.58e-06</v>
      </c>
    </row>
    <row r="522">
      <c r="A522" s="30">
        <f>10000/B522</f>
        <v/>
      </c>
      <c r="B522" s="31" t="n">
        <v>1.39</v>
      </c>
      <c r="C522" s="30" t="n">
        <v>1.52688</v>
      </c>
      <c r="D522" s="31" t="n">
        <v>5.99e-06</v>
      </c>
    </row>
    <row r="523">
      <c r="A523" s="30">
        <f>10000/B523</f>
        <v/>
      </c>
      <c r="B523" s="31" t="n">
        <v>1.38</v>
      </c>
      <c r="C523" s="30" t="n">
        <v>1.52732</v>
      </c>
      <c r="D523" s="31" t="n">
        <v>5.17e-06</v>
      </c>
    </row>
    <row r="524">
      <c r="A524" s="30">
        <f>10000/B524</f>
        <v/>
      </c>
      <c r="B524" s="31" t="n">
        <v>1.37</v>
      </c>
      <c r="C524" s="30" t="n">
        <v>1.52788</v>
      </c>
      <c r="D524" s="31" t="n">
        <v>2.42e-06</v>
      </c>
    </row>
    <row r="525">
      <c r="A525" s="30">
        <f>10000/B525</f>
        <v/>
      </c>
      <c r="B525" s="31" t="n">
        <v>1.36</v>
      </c>
      <c r="C525" s="30" t="n">
        <v>1.52762</v>
      </c>
      <c r="D525" s="31" t="n">
        <v>1.56e-06</v>
      </c>
    </row>
    <row r="526">
      <c r="A526" s="30">
        <f>10000/B526</f>
        <v/>
      </c>
      <c r="B526" s="31" t="n">
        <v>1.35</v>
      </c>
      <c r="C526" s="30" t="n">
        <v>1.52728</v>
      </c>
      <c r="D526" s="31" t="n">
        <v>1.1e-06</v>
      </c>
    </row>
    <row r="527">
      <c r="A527" s="30">
        <f>10000/B527</f>
        <v/>
      </c>
      <c r="B527" s="31" t="n">
        <v>1.34</v>
      </c>
      <c r="C527" s="30" t="n">
        <v>1.52706</v>
      </c>
      <c r="D527" s="31" t="n">
        <v>9.25e-07</v>
      </c>
    </row>
    <row r="528">
      <c r="A528" s="30">
        <f>10000/B528</f>
        <v/>
      </c>
      <c r="B528" s="31" t="n">
        <v>1.33</v>
      </c>
      <c r="C528" s="30" t="n">
        <v>1.52731</v>
      </c>
      <c r="D528" s="31" t="n">
        <v>8.65e-07</v>
      </c>
    </row>
    <row r="529">
      <c r="A529" s="30">
        <f>10000/B529</f>
        <v/>
      </c>
      <c r="B529" s="31" t="n">
        <v>1.32</v>
      </c>
      <c r="C529" s="30" t="n">
        <v>1.52747</v>
      </c>
      <c r="D529" s="31" t="n">
        <v>8.350000000000001e-07</v>
      </c>
    </row>
    <row r="530">
      <c r="A530" s="30">
        <f>10000/B530</f>
        <v/>
      </c>
      <c r="B530" s="31" t="n">
        <v>1.31</v>
      </c>
      <c r="C530" s="30" t="n">
        <v>1.52771</v>
      </c>
      <c r="D530" s="31" t="n">
        <v>8.83e-07</v>
      </c>
    </row>
    <row r="531">
      <c r="A531" s="30">
        <f>10000/B531</f>
        <v/>
      </c>
      <c r="B531" s="31" t="n">
        <v>1.3</v>
      </c>
      <c r="C531" s="30" t="n">
        <v>1.52768</v>
      </c>
      <c r="D531" s="31" t="n">
        <v>9.31e-07</v>
      </c>
    </row>
    <row r="532">
      <c r="A532" s="30">
        <f>10000/B532</f>
        <v/>
      </c>
      <c r="B532" s="31" t="n">
        <v>1.29</v>
      </c>
      <c r="C532" s="30" t="n">
        <v>1.52815</v>
      </c>
      <c r="D532" s="31" t="n">
        <v>9.67e-07</v>
      </c>
    </row>
    <row r="533">
      <c r="A533" s="30">
        <f>10000/B533</f>
        <v/>
      </c>
      <c r="B533" s="31" t="n">
        <v>1.28</v>
      </c>
      <c r="C533" s="30" t="n">
        <v>1.52839</v>
      </c>
      <c r="D533" s="31" t="n">
        <v>1.05e-06</v>
      </c>
    </row>
    <row r="534">
      <c r="A534" s="30">
        <f>10000/B534</f>
        <v/>
      </c>
      <c r="B534" s="31" t="n">
        <v>1.27</v>
      </c>
      <c r="C534" s="30" t="n">
        <v>1.52884</v>
      </c>
      <c r="D534" s="31" t="n">
        <v>9e-07</v>
      </c>
    </row>
    <row r="535">
      <c r="A535" s="30">
        <f>10000/B535</f>
        <v/>
      </c>
      <c r="B535" s="31" t="n">
        <v>1.26</v>
      </c>
      <c r="C535" s="30" t="n">
        <v>1.52852</v>
      </c>
      <c r="D535" s="31" t="n">
        <v>1.23e-06</v>
      </c>
    </row>
    <row r="536">
      <c r="A536" s="30">
        <f>10000/B536</f>
        <v/>
      </c>
      <c r="B536" s="31" t="n">
        <v>1.25</v>
      </c>
      <c r="C536" s="30" t="n">
        <v>1.52839</v>
      </c>
      <c r="D536" s="31" t="n">
        <v>1.35e-06</v>
      </c>
    </row>
    <row r="537">
      <c r="A537" s="30">
        <f>10000/B537</f>
        <v/>
      </c>
      <c r="B537" s="31" t="n">
        <v>1.24</v>
      </c>
      <c r="C537" s="30" t="n">
        <v>1.52859</v>
      </c>
      <c r="D537" s="31" t="n">
        <v>1.6e-06</v>
      </c>
    </row>
    <row r="538">
      <c r="A538" s="30">
        <f>10000/B538</f>
        <v/>
      </c>
      <c r="B538" s="31" t="n">
        <v>1.23</v>
      </c>
      <c r="C538" s="30" t="n">
        <v>1.52856</v>
      </c>
      <c r="D538" s="31" t="n">
        <v>2.07e-06</v>
      </c>
    </row>
    <row r="539">
      <c r="A539" s="30">
        <f>10000/B539</f>
        <v/>
      </c>
      <c r="B539" s="31" t="n">
        <v>1.22</v>
      </c>
      <c r="C539" s="30" t="n">
        <v>1.52812</v>
      </c>
      <c r="D539" s="31" t="n">
        <v>3.08e-06</v>
      </c>
    </row>
    <row r="540">
      <c r="A540" s="30">
        <f>10000/B540</f>
        <v/>
      </c>
      <c r="B540" s="31" t="n">
        <v>1.21</v>
      </c>
      <c r="C540" s="30" t="n">
        <v>1.52869</v>
      </c>
      <c r="D540" s="31" t="n">
        <v>5.14e-06</v>
      </c>
    </row>
    <row r="541">
      <c r="A541" s="30">
        <f>10000/B541</f>
        <v/>
      </c>
      <c r="B541" s="31" t="n">
        <v>1.2</v>
      </c>
      <c r="C541" s="30" t="n">
        <v>1.52875</v>
      </c>
      <c r="D541" s="31" t="n">
        <v>7.76e-06</v>
      </c>
    </row>
    <row r="542">
      <c r="A542" s="30">
        <f>10000/B542</f>
        <v/>
      </c>
      <c r="B542" s="31" t="n">
        <v>1.19</v>
      </c>
      <c r="C542" s="30" t="n">
        <v>1.52887</v>
      </c>
      <c r="D542" s="31" t="n">
        <v>7.64e-06</v>
      </c>
    </row>
    <row r="543">
      <c r="A543" s="30">
        <f>10000/B543</f>
        <v/>
      </c>
      <c r="B543" s="31" t="n">
        <v>1.18</v>
      </c>
      <c r="C543" s="30" t="n">
        <v>1.52946</v>
      </c>
      <c r="D543" s="31" t="n">
        <v>6.57e-06</v>
      </c>
    </row>
    <row r="544">
      <c r="A544" s="30">
        <f>10000/B544</f>
        <v/>
      </c>
      <c r="B544" s="31" t="n">
        <v>1.17</v>
      </c>
      <c r="C544" s="30" t="n">
        <v>1.52931</v>
      </c>
      <c r="D544" s="31" t="n">
        <v>6.46e-06</v>
      </c>
    </row>
    <row r="545">
      <c r="A545" s="30">
        <f>10000/B545</f>
        <v/>
      </c>
      <c r="B545" s="31" t="n">
        <v>1.16</v>
      </c>
      <c r="C545" s="30" t="n">
        <v>1.5291</v>
      </c>
      <c r="D545" s="31" t="n">
        <v>3.63e-06</v>
      </c>
    </row>
    <row r="546">
      <c r="A546" s="30">
        <f>10000/B546</f>
        <v/>
      </c>
      <c r="B546" s="31" t="n">
        <v>1.15</v>
      </c>
      <c r="C546" s="30" t="n">
        <v>1.52836</v>
      </c>
      <c r="D546" s="31" t="n">
        <v>1.86e-06</v>
      </c>
    </row>
    <row r="547">
      <c r="A547" s="30">
        <f>10000/B547</f>
        <v/>
      </c>
      <c r="B547" s="31" t="n">
        <v>1.14</v>
      </c>
      <c r="C547" s="30" t="n">
        <v>1.52895</v>
      </c>
      <c r="D547" s="31" t="n">
        <v>1.32e-06</v>
      </c>
    </row>
    <row r="548">
      <c r="A548" s="30">
        <f>10000/B548</f>
        <v/>
      </c>
      <c r="B548" s="31" t="n">
        <v>1.13</v>
      </c>
      <c r="C548" s="30" t="n">
        <v>1.52927</v>
      </c>
      <c r="D548" s="31" t="n">
        <v>8.41e-07</v>
      </c>
    </row>
    <row r="549">
      <c r="A549" s="30">
        <f>10000/B549</f>
        <v/>
      </c>
      <c r="B549" s="31" t="n">
        <v>1.12</v>
      </c>
      <c r="C549" s="30" t="n">
        <v>1.52983</v>
      </c>
      <c r="D549" s="31" t="n">
        <v>7.26e-07</v>
      </c>
    </row>
    <row r="550">
      <c r="A550" s="30">
        <f>10000/B550</f>
        <v/>
      </c>
      <c r="B550" s="31" t="n">
        <v>1.11</v>
      </c>
      <c r="C550" s="30" t="n">
        <v>1.53011</v>
      </c>
      <c r="D550" s="31" t="n">
        <v>6.26e-07</v>
      </c>
    </row>
    <row r="551">
      <c r="A551" s="30">
        <f>10000/B551</f>
        <v/>
      </c>
      <c r="B551" s="31" t="n">
        <v>1.1</v>
      </c>
      <c r="C551" s="30" t="n">
        <v>1.52963</v>
      </c>
      <c r="D551" s="31" t="n">
        <v>5.95e-07</v>
      </c>
    </row>
    <row r="552">
      <c r="A552" s="30">
        <f>10000/B552</f>
        <v/>
      </c>
      <c r="B552" s="31" t="n">
        <v>1.09</v>
      </c>
      <c r="C552" s="30" t="n">
        <v>1.53006</v>
      </c>
      <c r="D552" s="31" t="n">
        <v>6.57e-07</v>
      </c>
    </row>
    <row r="553">
      <c r="A553" s="30">
        <f>10000/B553</f>
        <v/>
      </c>
      <c r="B553" s="31" t="n">
        <v>1.08</v>
      </c>
      <c r="C553" s="30" t="n">
        <v>1.53008</v>
      </c>
      <c r="D553" s="31" t="n">
        <v>6.53e-07</v>
      </c>
    </row>
    <row r="554">
      <c r="A554" s="30">
        <f>10000/B554</f>
        <v/>
      </c>
      <c r="B554" s="31" t="n">
        <v>1.07</v>
      </c>
      <c r="C554" s="30" t="n">
        <v>1.52961</v>
      </c>
      <c r="D554" s="31" t="n">
        <v>7.02e-07</v>
      </c>
    </row>
    <row r="555">
      <c r="A555" s="30">
        <f>10000/B555</f>
        <v/>
      </c>
      <c r="B555" s="31" t="n">
        <v>1.06</v>
      </c>
      <c r="C555" s="30" t="n">
        <v>1.52952</v>
      </c>
      <c r="D555" s="31" t="n">
        <v>7.77e-07</v>
      </c>
    </row>
    <row r="556">
      <c r="A556" s="30">
        <f>10000/B556</f>
        <v/>
      </c>
      <c r="B556" s="31" t="n">
        <v>1.05</v>
      </c>
      <c r="C556" s="30" t="n">
        <v>1.53012</v>
      </c>
      <c r="D556" s="31" t="n">
        <v>7.94e-07</v>
      </c>
    </row>
    <row r="557">
      <c r="A557" s="30">
        <f>10000/B557</f>
        <v/>
      </c>
      <c r="B557" s="31" t="n">
        <v>1.04</v>
      </c>
      <c r="C557" s="30" t="n">
        <v>1.53015</v>
      </c>
      <c r="D557" s="31" t="n">
        <v>8.74e-07</v>
      </c>
    </row>
    <row r="558">
      <c r="A558" s="30">
        <f>10000/B558</f>
        <v/>
      </c>
      <c r="B558" s="31" t="n">
        <v>1.03</v>
      </c>
      <c r="C558" s="30" t="n">
        <v>1.53013</v>
      </c>
      <c r="D558" s="31" t="n">
        <v>9.27e-07</v>
      </c>
    </row>
    <row r="559">
      <c r="A559" s="30">
        <f>10000/B559</f>
        <v/>
      </c>
      <c r="B559" s="31" t="n">
        <v>1.02</v>
      </c>
      <c r="C559" s="30" t="n">
        <v>1.53238</v>
      </c>
      <c r="D559" s="31" t="n">
        <v>9.18e-07</v>
      </c>
    </row>
    <row r="560">
      <c r="A560" s="30">
        <f>10000/B560</f>
        <v/>
      </c>
      <c r="B560" s="31" t="n">
        <v>1.01</v>
      </c>
      <c r="C560" s="30" t="n">
        <v>1.5323</v>
      </c>
      <c r="D560" s="31" t="n">
        <v>6.76e-07</v>
      </c>
    </row>
    <row r="561">
      <c r="A561" s="30">
        <f>10000/B561</f>
        <v/>
      </c>
      <c r="B561" s="31" t="n">
        <v>1</v>
      </c>
      <c r="C561" s="30" t="n">
        <v>1.53235</v>
      </c>
      <c r="D561" s="31" t="n">
        <v>2.32e-07</v>
      </c>
    </row>
    <row r="562">
      <c r="A562" s="30">
        <f>10000/B562</f>
        <v/>
      </c>
      <c r="B562" s="31" t="n">
        <v>0.99</v>
      </c>
      <c r="C562" s="30" t="n">
        <v>1.53245</v>
      </c>
      <c r="D562" s="31" t="n">
        <v>3.32e-07</v>
      </c>
    </row>
    <row r="563">
      <c r="A563" s="30">
        <f>10000/B563</f>
        <v/>
      </c>
      <c r="B563" s="31" t="n">
        <v>0.98</v>
      </c>
      <c r="C563" s="30" t="n">
        <v>1.53235</v>
      </c>
      <c r="D563" s="31" t="n">
        <v>4.46e-07</v>
      </c>
    </row>
    <row r="564">
      <c r="A564" s="30">
        <f>10000/B564</f>
        <v/>
      </c>
      <c r="B564" s="31" t="n">
        <v>0.97</v>
      </c>
      <c r="C564" s="30" t="n">
        <v>1.53264</v>
      </c>
      <c r="D564" s="31" t="n">
        <v>5.58e-07</v>
      </c>
    </row>
    <row r="565">
      <c r="A565" s="30">
        <f>10000/B565</f>
        <v/>
      </c>
      <c r="B565" s="31" t="n">
        <v>0.96</v>
      </c>
      <c r="C565" s="30" t="n">
        <v>1.53283</v>
      </c>
      <c r="D565" s="31" t="n">
        <v>6.2e-07</v>
      </c>
    </row>
    <row r="566">
      <c r="A566" s="30">
        <f>10000/B566</f>
        <v/>
      </c>
      <c r="B566" s="31" t="n">
        <v>0.95</v>
      </c>
      <c r="C566" s="30" t="n">
        <v>1.53287</v>
      </c>
      <c r="D566" s="31" t="n">
        <v>1.34e-07</v>
      </c>
    </row>
    <row r="567">
      <c r="A567" s="30">
        <f>10000/B567</f>
        <v/>
      </c>
      <c r="B567" s="31" t="n">
        <v>0.9399999999999999</v>
      </c>
      <c r="C567" s="30" t="n">
        <v>1.53305</v>
      </c>
      <c r="D567" s="31" t="n">
        <v>3.63e-07</v>
      </c>
    </row>
    <row r="568">
      <c r="A568" s="30">
        <f>10000/B568</f>
        <v/>
      </c>
      <c r="B568" s="31" t="n">
        <v>0.93</v>
      </c>
      <c r="C568" s="30" t="n">
        <v>1.53331</v>
      </c>
      <c r="D568" s="31" t="n">
        <v>4.52e-07</v>
      </c>
    </row>
    <row r="569">
      <c r="A569" s="30">
        <f>10000/B569</f>
        <v/>
      </c>
      <c r="B569" s="31" t="n">
        <v>0.92</v>
      </c>
      <c r="C569" s="30" t="n">
        <v>1.53341</v>
      </c>
      <c r="D569" s="31" t="n">
        <v>9.17e-07</v>
      </c>
    </row>
    <row r="570">
      <c r="A570" s="30">
        <f>10000/B570</f>
        <v/>
      </c>
      <c r="B570" s="31" t="n">
        <v>0.91</v>
      </c>
      <c r="C570" s="30" t="n">
        <v>1.53361</v>
      </c>
      <c r="D570" s="31" t="n">
        <v>1.02e-06</v>
      </c>
    </row>
    <row r="571">
      <c r="A571" s="30">
        <f>10000/B571</f>
        <v/>
      </c>
      <c r="B571" s="31" t="n">
        <v>0.9</v>
      </c>
      <c r="C571" s="30" t="n">
        <v>1.53383</v>
      </c>
      <c r="D571" s="31" t="n">
        <v>8.17e-07</v>
      </c>
    </row>
    <row r="572">
      <c r="A572" s="30">
        <f>10000/B572</f>
        <v/>
      </c>
      <c r="B572" s="31" t="n">
        <v>0.89</v>
      </c>
      <c r="C572" s="30" t="n">
        <v>1.53407</v>
      </c>
      <c r="D572" s="31" t="n">
        <v>1.04e-06</v>
      </c>
    </row>
    <row r="573">
      <c r="A573" s="30">
        <f>10000/B573</f>
        <v/>
      </c>
      <c r="B573" s="31" t="n">
        <v>0.88</v>
      </c>
      <c r="C573" s="30" t="n">
        <v>1.53413</v>
      </c>
      <c r="D573" s="31" t="n">
        <v>1.08e-06</v>
      </c>
    </row>
    <row r="574">
      <c r="A574" s="30">
        <f>10000/B574</f>
        <v/>
      </c>
      <c r="B574" s="31" t="n">
        <v>0.87</v>
      </c>
      <c r="C574" s="30" t="n">
        <v>1.53446</v>
      </c>
      <c r="D574" s="31" t="n">
        <v>7.13e-07</v>
      </c>
    </row>
    <row r="575">
      <c r="A575" s="30">
        <f>10000/B575</f>
        <v/>
      </c>
      <c r="B575" s="31" t="n">
        <v>0.86</v>
      </c>
      <c r="C575" s="30" t="n">
        <v>1.53466</v>
      </c>
      <c r="D575" s="31" t="n">
        <v>4.5e-07</v>
      </c>
    </row>
    <row r="576">
      <c r="A576" s="30">
        <f>10000/B576</f>
        <v/>
      </c>
      <c r="B576" s="31" t="n">
        <v>0.85</v>
      </c>
      <c r="C576" s="30" t="n">
        <v>1.5349</v>
      </c>
      <c r="D576" s="31" t="n">
        <v>4.62e-07</v>
      </c>
    </row>
    <row r="577">
      <c r="A577" s="30">
        <f>10000/B577</f>
        <v/>
      </c>
      <c r="B577" s="31" t="n">
        <v>0.84</v>
      </c>
      <c r="C577" s="30" t="n">
        <v>1.53362</v>
      </c>
      <c r="D577" s="31" t="n">
        <v>5.1e-07</v>
      </c>
    </row>
    <row r="578">
      <c r="A578" s="30">
        <f>10000/B578</f>
        <v/>
      </c>
      <c r="B578" s="31" t="n">
        <v>0.83</v>
      </c>
      <c r="C578" s="30" t="n">
        <v>1.53519</v>
      </c>
      <c r="D578" s="31" t="n">
        <v>5.22e-07</v>
      </c>
    </row>
    <row r="579">
      <c r="A579" s="30">
        <f>10000/B579</f>
        <v/>
      </c>
      <c r="B579" s="31" t="n">
        <v>0.82</v>
      </c>
      <c r="C579" s="30" t="n">
        <v>1.53471</v>
      </c>
      <c r="D579" s="31" t="n">
        <v>5.3e-07</v>
      </c>
    </row>
    <row r="580">
      <c r="A580" s="30">
        <f>10000/B580</f>
        <v/>
      </c>
      <c r="B580" s="31" t="n">
        <v>0.8100000000000001</v>
      </c>
      <c r="C580" s="30" t="n">
        <v>1.53552</v>
      </c>
      <c r="D580" s="31" t="n">
        <v>6.26e-07</v>
      </c>
    </row>
    <row r="581">
      <c r="A581" s="30">
        <f>10000/B581</f>
        <v/>
      </c>
      <c r="B581" s="31" t="n">
        <v>0.8</v>
      </c>
      <c r="C581" s="30" t="n">
        <v>1.53569</v>
      </c>
      <c r="D581" s="31" t="n">
        <v>6.16e-07</v>
      </c>
    </row>
    <row r="582">
      <c r="A582" s="30">
        <f>10000/B582</f>
        <v/>
      </c>
      <c r="B582" s="31" t="n">
        <v>0.79</v>
      </c>
      <c r="C582" s="30" t="n">
        <v>1.53468</v>
      </c>
      <c r="D582" s="31" t="n">
        <v>6.13e-07</v>
      </c>
    </row>
    <row r="583">
      <c r="A583" s="30">
        <f>10000/B583</f>
        <v/>
      </c>
      <c r="B583" s="31" t="n">
        <v>0.78</v>
      </c>
      <c r="C583" s="30" t="n">
        <v>1.53526</v>
      </c>
      <c r="D583" s="31" t="n">
        <v>6.47e-07</v>
      </c>
    </row>
    <row r="584">
      <c r="A584" s="30">
        <f>10000/B584</f>
        <v/>
      </c>
      <c r="B584" s="31" t="n">
        <v>0.77</v>
      </c>
      <c r="C584" s="30" t="n">
        <v>1.53528</v>
      </c>
      <c r="D584" s="31" t="n">
        <v>6.6e-07</v>
      </c>
    </row>
    <row r="585">
      <c r="A585" s="30">
        <f>10000/B585</f>
        <v/>
      </c>
      <c r="B585" s="31" t="n">
        <v>0.76</v>
      </c>
      <c r="C585" s="30" t="n">
        <v>1.53569</v>
      </c>
      <c r="D585" s="31" t="n">
        <v>6.66e-07</v>
      </c>
    </row>
    <row r="586">
      <c r="A586" s="30">
        <f>10000/B586</f>
        <v/>
      </c>
      <c r="B586" s="31" t="n">
        <v>0.75</v>
      </c>
      <c r="C586" s="30" t="n">
        <v>1.53544</v>
      </c>
      <c r="D586" s="31" t="n">
        <v>7.06e-07</v>
      </c>
    </row>
    <row r="587">
      <c r="A587" s="30">
        <f>10000/B587</f>
        <v/>
      </c>
      <c r="B587" s="31" t="n">
        <v>0.74</v>
      </c>
      <c r="C587" s="30" t="n">
        <v>1.53593</v>
      </c>
      <c r="D587" s="31" t="n">
        <v>7.07e-07</v>
      </c>
    </row>
    <row r="588">
      <c r="A588" s="30">
        <f>10000/B588</f>
        <v/>
      </c>
      <c r="B588" s="31" t="n">
        <v>0.73</v>
      </c>
      <c r="C588" s="30" t="n">
        <v>1.53674</v>
      </c>
      <c r="D588" s="31" t="n">
        <v>7.15e-07</v>
      </c>
    </row>
    <row r="589">
      <c r="A589" s="30">
        <f>10000/B589</f>
        <v/>
      </c>
      <c r="B589" s="31" t="n">
        <v>0.72</v>
      </c>
      <c r="C589" s="30" t="n">
        <v>1.53732</v>
      </c>
      <c r="D589" s="31" t="n">
        <v>7.67e-07</v>
      </c>
    </row>
    <row r="590">
      <c r="A590" s="30">
        <f>10000/B590</f>
        <v/>
      </c>
      <c r="B590" s="31" t="n">
        <v>0.71</v>
      </c>
      <c r="C590" s="30" t="n">
        <v>1.53727</v>
      </c>
      <c r="D590" s="31" t="n">
        <v>8.02e-07</v>
      </c>
    </row>
    <row r="591">
      <c r="A591" s="30">
        <f>10000/B591</f>
        <v/>
      </c>
      <c r="B591" s="31" t="n">
        <v>0.7</v>
      </c>
      <c r="C591" s="30" t="n">
        <v>1.53754</v>
      </c>
      <c r="D591" s="31" t="n">
        <v>8.96e-07</v>
      </c>
    </row>
    <row r="592">
      <c r="A592" s="30">
        <f>10000/B592</f>
        <v/>
      </c>
      <c r="B592" s="31" t="n">
        <v>0.6899999999999999</v>
      </c>
      <c r="C592" s="30" t="n">
        <v>1.53791</v>
      </c>
      <c r="D592" s="31" t="n">
        <v>1.01e-06</v>
      </c>
    </row>
    <row r="593">
      <c r="A593" s="30">
        <f>10000/B593</f>
        <v/>
      </c>
      <c r="B593" s="31" t="n">
        <v>0.68</v>
      </c>
      <c r="C593" s="30" t="n">
        <v>1.53812</v>
      </c>
      <c r="D593" s="31" t="n">
        <v>1.14e-06</v>
      </c>
    </row>
    <row r="594">
      <c r="A594" s="30">
        <f>10000/B594</f>
        <v/>
      </c>
      <c r="B594" s="31" t="n">
        <v>0.67</v>
      </c>
      <c r="C594" s="30" t="n">
        <v>1.5388</v>
      </c>
      <c r="D594" s="31" t="n">
        <v>1.29e-06</v>
      </c>
    </row>
    <row r="595">
      <c r="A595" s="30">
        <f>10000/B595</f>
        <v/>
      </c>
      <c r="B595" s="31" t="n">
        <v>0.66</v>
      </c>
      <c r="C595" s="30" t="n">
        <v>1.53946</v>
      </c>
      <c r="D595" s="31" t="n">
        <v>1.44e-06</v>
      </c>
    </row>
    <row r="596">
      <c r="A596" s="30">
        <f>10000/B596</f>
        <v/>
      </c>
      <c r="B596" s="31" t="n">
        <v>0.65</v>
      </c>
      <c r="C596" s="30" t="n">
        <v>1.53987</v>
      </c>
      <c r="D596" s="31" t="n">
        <v>1.54e-06</v>
      </c>
    </row>
    <row r="597">
      <c r="A597" s="30">
        <f>10000/B597</f>
        <v/>
      </c>
      <c r="B597" s="31" t="n">
        <v>0.64</v>
      </c>
      <c r="C597" s="30" t="n">
        <v>1.53987</v>
      </c>
      <c r="D597" s="31" t="n">
        <v>1.68e-06</v>
      </c>
    </row>
    <row r="598">
      <c r="A598" s="30">
        <f>10000/B598</f>
        <v/>
      </c>
      <c r="B598" s="31" t="n">
        <v>0.63</v>
      </c>
      <c r="C598" s="30" t="n">
        <v>1.54004</v>
      </c>
      <c r="D598" s="31" t="n">
        <v>1.8e-06</v>
      </c>
    </row>
    <row r="599">
      <c r="A599" s="30">
        <f>10000/B599</f>
        <v/>
      </c>
      <c r="B599" s="31" t="n">
        <v>0.62</v>
      </c>
      <c r="C599" s="30" t="n">
        <v>1.54073</v>
      </c>
      <c r="D599" s="31" t="n">
        <v>1.9e-06</v>
      </c>
    </row>
    <row r="600">
      <c r="A600" s="30">
        <f>10000/B600</f>
        <v/>
      </c>
      <c r="B600" s="31" t="n">
        <v>0.61</v>
      </c>
      <c r="C600" s="30" t="n">
        <v>1.54114</v>
      </c>
      <c r="D600" s="31" t="n">
        <v>2e-06</v>
      </c>
    </row>
    <row r="601">
      <c r="A601" s="30">
        <f>10000/B601</f>
        <v/>
      </c>
      <c r="B601" s="31" t="n">
        <v>0.6</v>
      </c>
      <c r="C601" s="30" t="n">
        <v>1.54137</v>
      </c>
      <c r="D601" s="31" t="n">
        <v>2.15e-06</v>
      </c>
    </row>
    <row r="602">
      <c r="A602" s="30">
        <f>10000/B602</f>
        <v/>
      </c>
      <c r="B602" s="31" t="n">
        <v>0.59</v>
      </c>
      <c r="C602" s="30" t="n">
        <v>1.54238</v>
      </c>
      <c r="D602" s="31" t="n">
        <v>2.3e-06</v>
      </c>
    </row>
    <row r="603">
      <c r="A603" s="30">
        <f>10000/B603</f>
        <v/>
      </c>
      <c r="B603" s="31" t="n">
        <v>0.58</v>
      </c>
      <c r="C603" s="30" t="n">
        <v>1.54275</v>
      </c>
      <c r="D603" s="31" t="n">
        <v>2.34e-06</v>
      </c>
    </row>
    <row r="604">
      <c r="A604" s="30">
        <f>10000/B604</f>
        <v/>
      </c>
      <c r="B604" s="31" t="n">
        <v>0.57</v>
      </c>
      <c r="C604" s="30" t="n">
        <v>1.54325</v>
      </c>
      <c r="D604" s="31" t="n">
        <v>2.27e-06</v>
      </c>
    </row>
    <row r="605">
      <c r="A605" s="30">
        <f>10000/B605</f>
        <v/>
      </c>
      <c r="B605" s="31" t="n">
        <v>0.5600000000000001</v>
      </c>
      <c r="C605" s="30" t="n">
        <v>1.54389</v>
      </c>
      <c r="D605" s="31" t="n">
        <v>2.2e-06</v>
      </c>
    </row>
    <row r="606">
      <c r="A606" s="30">
        <f>10000/B606</f>
        <v/>
      </c>
      <c r="B606" s="31" t="n">
        <v>0.55</v>
      </c>
      <c r="C606" s="30" t="n">
        <v>1.54493</v>
      </c>
      <c r="D606" s="31" t="n">
        <v>2.17e-06</v>
      </c>
    </row>
    <row r="607">
      <c r="A607" s="30">
        <f>10000/B607</f>
        <v/>
      </c>
      <c r="B607" s="31" t="n">
        <v>0.54</v>
      </c>
      <c r="C607" s="30" t="n">
        <v>1.54533</v>
      </c>
      <c r="D607" s="31" t="n">
        <v>2.09e-06</v>
      </c>
    </row>
    <row r="608">
      <c r="A608" s="30">
        <f>10000/B608</f>
        <v/>
      </c>
      <c r="B608" s="31" t="n">
        <v>0.53</v>
      </c>
      <c r="C608" s="30" t="n">
        <v>1.54626</v>
      </c>
      <c r="D608" s="31" t="n">
        <v>1.96e-06</v>
      </c>
    </row>
    <row r="609">
      <c r="A609" s="30">
        <f>10000/B609</f>
        <v/>
      </c>
      <c r="B609" s="31" t="n">
        <v>0.52</v>
      </c>
      <c r="C609" s="30" t="n">
        <v>1.54692</v>
      </c>
      <c r="D609" s="31" t="n">
        <v>1.83e-06</v>
      </c>
    </row>
    <row r="610">
      <c r="A610" s="30">
        <f>10000/B610</f>
        <v/>
      </c>
      <c r="B610" s="31" t="n">
        <v>0.51</v>
      </c>
      <c r="C610" s="30" t="n">
        <v>1.54761</v>
      </c>
      <c r="D610" s="31" t="n">
        <v>1.75e-06</v>
      </c>
    </row>
    <row r="611">
      <c r="A611" s="30">
        <f>10000/B611</f>
        <v/>
      </c>
      <c r="B611" s="31" t="n">
        <v>0.5</v>
      </c>
      <c r="C611" s="30" t="n">
        <v>1.5485</v>
      </c>
      <c r="D611" s="31" t="n">
        <v>1.67e-06</v>
      </c>
    </row>
    <row r="612">
      <c r="A612" s="30">
        <f>10000/B612</f>
        <v/>
      </c>
      <c r="B612" s="31" t="n">
        <v>0.49</v>
      </c>
      <c r="C612" s="30" t="n">
        <v>1.5494</v>
      </c>
      <c r="D612" s="31" t="n">
        <v>1.61e-06</v>
      </c>
    </row>
    <row r="613">
      <c r="A613" s="30">
        <f>10000/B613</f>
        <v/>
      </c>
      <c r="B613" s="31" t="n">
        <v>0.48</v>
      </c>
      <c r="C613" s="30" t="n">
        <v>1.5501</v>
      </c>
      <c r="D613" s="31" t="n">
        <v>1.58e-06</v>
      </c>
    </row>
    <row r="614">
      <c r="A614" s="30">
        <f>10000/B614</f>
        <v/>
      </c>
      <c r="B614" s="31" t="n">
        <v>0.47</v>
      </c>
      <c r="C614" s="30" t="n">
        <v>1.55145</v>
      </c>
      <c r="D614" s="31" t="n">
        <v>1.6e-06</v>
      </c>
    </row>
    <row r="615">
      <c r="A615" s="30">
        <f>10000/B615</f>
        <v/>
      </c>
      <c r="B615" s="31" t="n">
        <v>0.46</v>
      </c>
      <c r="C615" s="30" t="n">
        <v>1.55236</v>
      </c>
      <c r="D615" s="31" t="n">
        <v>1.64e-06</v>
      </c>
    </row>
    <row r="616">
      <c r="A616" s="30">
        <f>10000/B616</f>
        <v/>
      </c>
      <c r="B616" s="31" t="n">
        <v>0.45</v>
      </c>
      <c r="C616" s="30" t="n">
        <v>1.55388</v>
      </c>
      <c r="D616" s="31" t="n">
        <v>1.71e-06</v>
      </c>
    </row>
    <row r="617">
      <c r="A617" s="30">
        <f>10000/B617</f>
        <v/>
      </c>
      <c r="B617" s="31" t="n">
        <v>0.44</v>
      </c>
      <c r="C617" s="30" t="n">
        <v>1.55491</v>
      </c>
      <c r="D617" s="31" t="n">
        <v>1.82e-06</v>
      </c>
    </row>
    <row r="618">
      <c r="A618" s="30">
        <f>10000/B618</f>
        <v/>
      </c>
      <c r="B618" s="31" t="n">
        <v>0.43</v>
      </c>
      <c r="C618" s="30" t="n">
        <v>1.55625</v>
      </c>
      <c r="D618" s="31" t="n">
        <v>1.96e-06</v>
      </c>
    </row>
    <row r="619">
      <c r="A619" s="30">
        <f>10000/B619</f>
        <v/>
      </c>
      <c r="B619" s="31" t="n">
        <v>0.42</v>
      </c>
      <c r="C619" s="30" t="n">
        <v>1.55812</v>
      </c>
      <c r="D619" s="31" t="n">
        <v>2.16e-06</v>
      </c>
    </row>
    <row r="620">
      <c r="A620" s="30">
        <f>10000/B620</f>
        <v/>
      </c>
      <c r="B620" s="31" t="n">
        <v>0.41</v>
      </c>
      <c r="C620" s="30" t="n">
        <v>1.55983</v>
      </c>
      <c r="D620" s="31" t="n">
        <v>2.35e-06</v>
      </c>
    </row>
    <row r="621">
      <c r="A621" s="30">
        <f>10000/B621</f>
        <v/>
      </c>
      <c r="B621" s="31" t="n">
        <v>0.4</v>
      </c>
      <c r="C621" s="30" t="n">
        <v>1.56135</v>
      </c>
      <c r="D621" s="31" t="n">
        <v>2.72e-06</v>
      </c>
    </row>
  </sheetData>
  <pageMargins left="0.7" right="0.7" top="0.75" bottom="0.75" header="0.3" footer="0.3"/>
  <pageSetup orientation="portrait" paperSize="9" fitToHeight="0" fitToWidth="0" cellComments="asDisplayed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B</t>
        </is>
      </c>
      <c r="B1" t="inlineStr">
        <is>
          <t>C (microns^2)</t>
        </is>
      </c>
      <c r="G1" t="inlineStr">
        <is>
          <t>Entry:</t>
        </is>
      </c>
      <c r="H1" t="inlineStr">
        <is>
          <t>Sellmeier</t>
        </is>
      </c>
    </row>
    <row r="2">
      <c r="A2" t="n">
        <v>0.5675888</v>
      </c>
      <c r="B2" t="n">
        <v>0.00252643</v>
      </c>
      <c r="G2" t="inlineStr">
        <is>
          <t>Density:</t>
        </is>
      </c>
      <c r="H2" t="n">
        <v>3.18</v>
      </c>
    </row>
    <row r="3">
      <c r="A3" t="n">
        <v>0.4710914</v>
      </c>
      <c r="B3" t="n">
        <v>0.01007833</v>
      </c>
      <c r="G3" t="inlineStr">
        <is>
          <t>Temperature:</t>
        </is>
      </c>
      <c r="H3" t="inlineStr">
        <is>
          <t>Room Temperature</t>
        </is>
      </c>
    </row>
    <row r="4">
      <c r="A4" t="n">
        <v>3.8484723</v>
      </c>
      <c r="B4" t="n">
        <v>1200.556</v>
      </c>
      <c r="G4" t="inlineStr">
        <is>
          <t>Low:</t>
        </is>
      </c>
      <c r="H4" t="n">
        <v>833</v>
      </c>
    </row>
    <row r="5">
      <c r="G5" t="inlineStr">
        <is>
          <t>High:</t>
        </is>
      </c>
      <c r="H5" t="n">
        <v>66667</v>
      </c>
    </row>
    <row r="6">
      <c r="G6" t="inlineStr">
        <is>
          <t>NPoints:</t>
        </is>
      </c>
      <c r="H6" t="n">
        <v>0</v>
      </c>
    </row>
    <row r="7">
      <c r="G7" t="inlineStr">
        <is>
          <t>Reference:</t>
        </is>
      </c>
      <c r="H7" t="inlineStr">
        <is>
          <t>I. H. Malitson, Applied Optics 2, 1103-1107 (1963)</t>
        </is>
      </c>
    </row>
    <row r="8">
      <c r="H8" t="inlineStr">
        <is>
          <t>Sellmeier coefficients for CaF2, valid 0.15-12 microns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Kendrick</dc:creator>
  <dcterms:created xmlns:dcterms="http://purl.org/dc/terms/" xmlns:xsi="http://www.w3.org/2001/XMLSchema-instance" xsi:type="dcterms:W3CDTF">2023-09-15T14:37:21Z</dcterms:created>
  <dcterms:modified xmlns:dcterms="http://purl.org/dc/terms/" xmlns:xsi="http://www.w3.org/2001/XMLSchema-instance" xsi:type="dcterms:W3CDTF">2026-05-03T15:54:14Z</dcterms:modified>
  <cp:lastModifiedBy>John Kendrick</cp:lastModifiedBy>
</cp:coreProperties>
</file>